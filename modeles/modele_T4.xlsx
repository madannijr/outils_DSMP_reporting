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gesBCRG\Données\"/>
    </mc:Choice>
  </mc:AlternateContent>
  <xr:revisionPtr revIDLastSave="0" documentId="13_ncr:1_{76C12150-6EC4-4FCC-9E1F-A63686DDE95B}" xr6:coauthVersionLast="47" xr6:coauthVersionMax="47" xr10:uidLastSave="{00000000-0000-0000-0000-000000000000}"/>
  <bookViews>
    <workbookView xWindow="-110" yWindow="-110" windowWidth="19420" windowHeight="10420" activeTab="3" xr2:uid="{610CDBC6-4A4C-4CE9-AD4D-CBBF757CFD17}"/>
  </bookViews>
  <sheets>
    <sheet name="GNF" sheetId="2" r:id="rId1"/>
    <sheet name="variation" sheetId="3" r:id="rId2"/>
    <sheet name="virements" sheetId="4" r:id="rId3"/>
    <sheet name="chèques" sheetId="5" r:id="rId4"/>
    <sheet name="chèques représenté" sheetId="6" r:id="rId5"/>
    <sheet name="lettre de change" sheetId="7" r:id="rId6"/>
    <sheet name="virements gra1" sheetId="8" r:id="rId7"/>
    <sheet name="virements gra2" sheetId="9" r:id="rId8"/>
    <sheet name="chéques graph 1" sheetId="10" r:id="rId9"/>
    <sheet name="chéques graph2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6" l="1"/>
  <c r="I2" i="6"/>
  <c r="H3" i="6"/>
  <c r="I3" i="6"/>
  <c r="H2" i="4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1" i="4"/>
  <c r="I21" i="4"/>
  <c r="H23" i="4"/>
  <c r="I23" i="4"/>
  <c r="H24" i="4"/>
  <c r="I24" i="4"/>
  <c r="H2" i="7"/>
  <c r="I2" i="7"/>
  <c r="H3" i="7"/>
  <c r="I3" i="7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1" i="7"/>
  <c r="I21" i="7"/>
  <c r="H23" i="7"/>
  <c r="I23" i="7"/>
  <c r="H24" i="7"/>
  <c r="I24" i="7"/>
  <c r="D25" i="7"/>
  <c r="E25" i="7"/>
  <c r="F25" i="7"/>
  <c r="G25" i="7"/>
  <c r="H25" i="7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1" i="6"/>
  <c r="I21" i="6"/>
  <c r="H23" i="6"/>
  <c r="I23" i="6"/>
  <c r="H24" i="6"/>
  <c r="I24" i="6"/>
  <c r="D25" i="6"/>
  <c r="E25" i="6"/>
  <c r="F25" i="6"/>
  <c r="G25" i="6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1" i="5"/>
  <c r="I21" i="5"/>
  <c r="H23" i="5"/>
  <c r="I23" i="5"/>
  <c r="H24" i="5"/>
  <c r="I24" i="5"/>
  <c r="D25" i="5"/>
  <c r="E25" i="5"/>
  <c r="F25" i="5"/>
  <c r="G25" i="5"/>
  <c r="D25" i="4"/>
  <c r="E25" i="4"/>
  <c r="F25" i="4"/>
  <c r="G25" i="4"/>
  <c r="L9" i="3"/>
  <c r="M9" i="3"/>
  <c r="N9" i="3"/>
  <c r="O9" i="3"/>
  <c r="D32" i="2"/>
  <c r="E32" i="2"/>
  <c r="F32" i="2"/>
  <c r="G32" i="2"/>
  <c r="H32" i="2"/>
  <c r="I32" i="2"/>
  <c r="J32" i="2"/>
  <c r="K32" i="2"/>
  <c r="I25" i="6" l="1"/>
  <c r="I25" i="7"/>
  <c r="H25" i="6"/>
  <c r="I25" i="5"/>
  <c r="H25" i="5"/>
  <c r="H25" i="4"/>
  <c r="I25" i="4"/>
</calcChain>
</file>

<file path=xl/sharedStrings.xml><?xml version="1.0" encoding="utf-8"?>
<sst xmlns="http://schemas.openxmlformats.org/spreadsheetml/2006/main" count="471" uniqueCount="92">
  <si>
    <t>TOTAUX</t>
  </si>
  <si>
    <t xml:space="preserve">SOCIETE DE FINANCEMENT DU COMMERCE ET DE 
L'INDUSTRIE </t>
  </si>
  <si>
    <t>039</t>
  </si>
  <si>
    <t xml:space="preserve"> </t>
  </si>
  <si>
    <t>ACCESS-BANK</t>
  </si>
  <si>
    <t>036</t>
  </si>
  <si>
    <t>AFRICAN LEASE SA GUINEE</t>
  </si>
  <si>
    <t>020</t>
  </si>
  <si>
    <t>CORIS BANK INTERNATIONAL SA GUINEE</t>
  </si>
  <si>
    <t>037</t>
  </si>
  <si>
    <t>BNI GUINEE</t>
  </si>
  <si>
    <t>035</t>
  </si>
  <si>
    <t>Banque Nationale de Guinée S.A</t>
  </si>
  <si>
    <t>022</t>
  </si>
  <si>
    <t>UNITED BANK FOR AFRICA GUINEA</t>
  </si>
  <si>
    <t>015</t>
  </si>
  <si>
    <t>SKYE BANK GUINEA LIMITED S.A.</t>
  </si>
  <si>
    <t>012</t>
  </si>
  <si>
    <t>SOCIETE GENERALE DE BANQUES EN GUINEE</t>
  </si>
  <si>
    <t>003</t>
  </si>
  <si>
    <t>DIAMA BANK SA</t>
  </si>
  <si>
    <t>038</t>
  </si>
  <si>
    <t>NSIA BANQUE GUINEE</t>
  </si>
  <si>
    <t>017</t>
  </si>
  <si>
    <t xml:space="preserve">BANQUE POUR LE COMMERCE ET L'INDUSTRIE DE GUINEE </t>
  </si>
  <si>
    <t>019</t>
  </si>
  <si>
    <t>BANQUE DE DEVELOPPEMENT DE GUINEE</t>
  </si>
  <si>
    <t>023</t>
  </si>
  <si>
    <t>ECOBANK GUINEE</t>
  </si>
  <si>
    <t>010</t>
  </si>
  <si>
    <t>VISTABANK SA</t>
  </si>
  <si>
    <t>011</t>
  </si>
  <si>
    <t>FBNBANK GUINEE</t>
  </si>
  <si>
    <t>008</t>
  </si>
  <si>
    <t>BANQUE ISLAMIQUE DE GUINEE</t>
  </si>
  <si>
    <t>004</t>
  </si>
  <si>
    <t>ORABANK GUINEE</t>
  </si>
  <si>
    <t>005</t>
  </si>
  <si>
    <t>BANQUE POPULAIRE MAROCO-GUINEE</t>
  </si>
  <si>
    <t>006</t>
  </si>
  <si>
    <t>AFRILAND FIRST BANK GUINEE S A</t>
  </si>
  <si>
    <t>021</t>
  </si>
  <si>
    <t>VISTAGUI</t>
  </si>
  <si>
    <t>002</t>
  </si>
  <si>
    <t>BSIC GUINEE CONAKRY</t>
  </si>
  <si>
    <t>013</t>
  </si>
  <si>
    <t>BANQUE CENTRALE</t>
  </si>
  <si>
    <t>001</t>
  </si>
  <si>
    <t>Montant</t>
  </si>
  <si>
    <t>Nombre</t>
  </si>
  <si>
    <t>Banque</t>
  </si>
  <si>
    <t>Code</t>
  </si>
  <si>
    <t>N°</t>
  </si>
  <si>
    <t>Chèques</t>
  </si>
  <si>
    <t>Virements</t>
  </si>
  <si>
    <t>1er Trimestre 2026</t>
  </si>
  <si>
    <t>1er Trimestre 2025</t>
  </si>
  <si>
    <t>Variation</t>
  </si>
  <si>
    <t>1er semestre 2025</t>
  </si>
  <si>
    <t>1er semestre 2024</t>
  </si>
  <si>
    <t>,</t>
  </si>
  <si>
    <t>SFCI</t>
  </si>
  <si>
    <t xml:space="preserve">ACCESS </t>
  </si>
  <si>
    <t>AFRICAN LEASE</t>
  </si>
  <si>
    <t xml:space="preserve">CORIS </t>
  </si>
  <si>
    <t>BNG</t>
  </si>
  <si>
    <t>UBA</t>
  </si>
  <si>
    <t xml:space="preserve">SKYE  </t>
  </si>
  <si>
    <t>SGBG</t>
  </si>
  <si>
    <t xml:space="preserve">DIAMA  </t>
  </si>
  <si>
    <t xml:space="preserve">NSIA </t>
  </si>
  <si>
    <t>BCI</t>
  </si>
  <si>
    <t xml:space="preserve">ECOBANK  </t>
  </si>
  <si>
    <t xml:space="preserve">VISTABANK  </t>
  </si>
  <si>
    <t xml:space="preserve">FBNBANK  </t>
  </si>
  <si>
    <t>BIG</t>
  </si>
  <si>
    <t xml:space="preserve">ORABANK  </t>
  </si>
  <si>
    <t>BPMG</t>
  </si>
  <si>
    <t xml:space="preserve">AFB </t>
  </si>
  <si>
    <t xml:space="preserve">BSIC </t>
  </si>
  <si>
    <t>BCRG</t>
  </si>
  <si>
    <t xml:space="preserve">CORIS  </t>
  </si>
  <si>
    <t>SGBF</t>
  </si>
  <si>
    <t xml:space="preserve">NSIA  </t>
  </si>
  <si>
    <t xml:space="preserve">FBNBANK </t>
  </si>
  <si>
    <t>AFB</t>
  </si>
  <si>
    <t xml:space="preserve">BNI  </t>
  </si>
  <si>
    <t xml:space="preserve">BSIC  </t>
  </si>
  <si>
    <t>Nombre_T4_2025</t>
  </si>
  <si>
    <t>Montant_T4_2025</t>
  </si>
  <si>
    <t>Nombre_T4_2026</t>
  </si>
  <si>
    <t>Montant_T4_2026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</si>
</sst>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Verdana"/>
      <family val="2"/>
    </font>
    <font>
      <sz val="12"/>
      <color indexed="8"/>
      <name val="Times New Roman"/>
      <family val="1"/>
    </font>
    <font>
      <sz val="10"/>
      <color indexed="8"/>
      <name val="Verdana"/>
      <family val="2"/>
    </font>
    <font>
      <b/>
      <sz val="12"/>
      <color indexed="8"/>
      <name val="Times New Roman"/>
      <family val="1"/>
    </font>
    <font>
      <i/>
      <u/>
      <sz val="12"/>
      <color indexed="8"/>
      <name val="Times New Roman"/>
      <family val="1"/>
    </font>
    <font>
      <b/>
      <sz val="10"/>
      <name val="Verdana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164" fontId="3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1" applyFont="1">
      <alignment vertical="top"/>
    </xf>
    <xf numFmtId="165" fontId="4" fillId="0" borderId="1" xfId="2" applyNumberFormat="1" applyFont="1" applyBorder="1" applyAlignment="1">
      <alignment horizontal="center" vertical="top"/>
    </xf>
    <xf numFmtId="3" fontId="5" fillId="0" borderId="0" xfId="1" applyNumberFormat="1" applyFont="1" applyAlignment="1">
      <alignment horizontal="left" vertical="top"/>
    </xf>
    <xf numFmtId="3" fontId="5" fillId="0" borderId="0" xfId="1" applyNumberFormat="1" applyFont="1" applyAlignment="1">
      <alignment horizontal="right" vertical="top"/>
    </xf>
    <xf numFmtId="165" fontId="6" fillId="0" borderId="1" xfId="2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 wrapText="1"/>
    </xf>
    <xf numFmtId="0" fontId="6" fillId="0" borderId="1" xfId="1" quotePrefix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165" fontId="6" fillId="0" borderId="1" xfId="2" applyNumberFormat="1" applyFont="1" applyBorder="1" applyAlignment="1">
      <alignment horizontal="right" vertical="top"/>
    </xf>
    <xf numFmtId="0" fontId="4" fillId="2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4" borderId="1" xfId="1" applyFont="1" applyFill="1" applyBorder="1" applyAlignment="1">
      <alignment horizontal="center" vertical="top"/>
    </xf>
    <xf numFmtId="0" fontId="7" fillId="0" borderId="0" xfId="1" applyFont="1" applyAlignment="1">
      <alignment horizontal="center" vertical="top"/>
    </xf>
    <xf numFmtId="0" fontId="4" fillId="3" borderId="4" xfId="1" applyFont="1" applyFill="1" applyBorder="1" applyAlignment="1">
      <alignment horizontal="center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center" vertical="top"/>
    </xf>
    <xf numFmtId="0" fontId="8" fillId="0" borderId="0" xfId="1" applyFont="1" applyAlignment="1">
      <alignment horizontal="left" vertical="top"/>
    </xf>
    <xf numFmtId="10" fontId="2" fillId="0" borderId="1" xfId="1" applyNumberFormat="1" applyFont="1" applyBorder="1">
      <alignment vertical="top"/>
    </xf>
    <xf numFmtId="0" fontId="2" fillId="0" borderId="1" xfId="1" applyFont="1" applyBorder="1">
      <alignment vertical="top"/>
    </xf>
    <xf numFmtId="165" fontId="6" fillId="0" borderId="1" xfId="2" applyNumberFormat="1" applyFont="1" applyFill="1" applyBorder="1" applyAlignment="1">
      <alignment horizontal="center" vertical="top"/>
    </xf>
    <xf numFmtId="165" fontId="6" fillId="0" borderId="1" xfId="2" applyNumberFormat="1" applyFont="1" applyFill="1" applyBorder="1" applyAlignment="1">
      <alignment horizontal="right" vertical="top"/>
    </xf>
    <xf numFmtId="10" fontId="2" fillId="0" borderId="1" xfId="3" applyNumberFormat="1" applyFont="1" applyBorder="1" applyAlignment="1">
      <alignment vertical="top"/>
    </xf>
    <xf numFmtId="10" fontId="4" fillId="0" borderId="1" xfId="3" applyNumberFormat="1" applyFont="1" applyBorder="1" applyAlignment="1">
      <alignment horizontal="center" vertical="top"/>
    </xf>
    <xf numFmtId="10" fontId="6" fillId="0" borderId="1" xfId="3" applyNumberFormat="1" applyFont="1" applyBorder="1" applyAlignment="1">
      <alignment horizontal="center" vertical="top"/>
    </xf>
    <xf numFmtId="10" fontId="2" fillId="0" borderId="0" xfId="1" applyNumberFormat="1" applyFont="1">
      <alignment vertical="top"/>
    </xf>
    <xf numFmtId="0" fontId="1" fillId="0" borderId="0" xfId="1">
      <alignment vertical="top"/>
    </xf>
    <xf numFmtId="0" fontId="4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top"/>
    </xf>
    <xf numFmtId="0" fontId="10" fillId="5" borderId="0" xfId="1" applyFont="1" applyFill="1">
      <alignment vertical="top"/>
    </xf>
    <xf numFmtId="0" fontId="2" fillId="5" borderId="0" xfId="1" applyFont="1" applyFill="1">
      <alignment vertical="top"/>
    </xf>
    <xf numFmtId="0" fontId="1" fillId="5" borderId="0" xfId="1" applyFill="1">
      <alignment vertical="top"/>
    </xf>
    <xf numFmtId="0" fontId="4" fillId="5" borderId="1" xfId="1" applyFont="1" applyFill="1" applyBorder="1" applyAlignment="1">
      <alignment vertical="center"/>
    </xf>
    <xf numFmtId="10" fontId="4" fillId="5" borderId="1" xfId="1" applyNumberFormat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2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4" borderId="1" xfId="1" applyFont="1" applyFill="1" applyBorder="1" applyAlignment="1">
      <alignment horizontal="center" vertical="top"/>
    </xf>
    <xf numFmtId="0" fontId="9" fillId="0" borderId="1" xfId="1" applyFont="1" applyBorder="1" applyAlignment="1">
      <alignment horizontal="center" vertical="top"/>
    </xf>
    <xf numFmtId="10" fontId="4" fillId="5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</cellXfs>
  <cellStyles count="4">
    <cellStyle name="Milliers 2" xfId="2" xr:uid="{2671F5C8-9156-4A45-84E2-FC2D4651F3B8}"/>
    <cellStyle name="Normal" xfId="0" builtinId="0"/>
    <cellStyle name="Normal 2" xfId="1" xr:uid="{8FAC44A9-CC9D-4AFD-B86F-21E01A8F1DF7}"/>
    <cellStyle name="Pourcentage 2" xfId="3" xr:uid="{1EA18199-1392-4631-A3AE-C899DD5A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virements en</a:t>
            </a:r>
            <a:r>
              <a:rPr lang="fr-FR" baseline="0"/>
              <a:t> volume</a:t>
            </a:r>
            <a:endParaRPr lang="fr-FR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'virements gra1'!$B$6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'virements gra1'!$A$7:$A$28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gra1'!$B$7:$B$28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4403-4C15-9077-5318DD70A868}"/>
            </c:ext>
          </c:extLst>
        </c:ser>
        <c:ser>
          <c:idx val="1"/>
          <c:order val="1"/>
          <c:tx>
            <c:strRef>
              <c:f>'virements gra1'!$C$6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'virements gra1'!$A$7:$A$28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gra1'!$C$7:$C$28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4403-4C15-9077-5318DD70A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40448"/>
        <c:axId val="1"/>
      </c:barChart>
      <c:catAx>
        <c:axId val="2790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404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602389060166931"/>
          <c:y val="0.91741390759889951"/>
          <c:w val="0.52116251839597816"/>
          <c:h val="5.680052041687555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virements en nombre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'virements gra2'!$B$6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'virements gra2'!$A$7:$A$28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gra2'!$B$7:$B$28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61CB-4BE4-9C73-6D1EAFC78DE3}"/>
            </c:ext>
          </c:extLst>
        </c:ser>
        <c:ser>
          <c:idx val="1"/>
          <c:order val="1"/>
          <c:tx>
            <c:strRef>
              <c:f>'virements gra2'!$C$6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'virements gra2'!$A$7:$A$28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gra2'!$C$7:$C$28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61CB-4BE4-9C73-6D1EAFC7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60128"/>
        <c:axId val="1"/>
      </c:barChart>
      <c:catAx>
        <c:axId val="2790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60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6111865326"/>
          <c:y val="0.91400728134789599"/>
          <c:w val="0.52691371164811296"/>
          <c:h val="5.914176050574326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chèques en nombre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'chéques graph 1'!$B$6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'chéques graph 1'!$A$7:$A$27</c:f>
              <c:strCache>
                <c:ptCount val="21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 </c:v>
                </c:pt>
                <c:pt idx="12">
                  <c:v>DIAMA  </c:v>
                </c:pt>
                <c:pt idx="13">
                  <c:v>SGBF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 </c:v>
                </c:pt>
                <c:pt idx="19">
                  <c:v>ACCESS-BANK</c:v>
                </c:pt>
                <c:pt idx="20">
                  <c:v>SFCI</c:v>
                </c:pt>
              </c:strCache>
            </c:strRef>
          </c:cat>
          <c:val>
            <c:numRef>
              <c:f>'chéques graph 1'!$B$7:$B$27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9197-4614-9054-47700C9A54F7}"/>
            </c:ext>
          </c:extLst>
        </c:ser>
        <c:ser>
          <c:idx val="1"/>
          <c:order val="1"/>
          <c:tx>
            <c:strRef>
              <c:f>'chéques graph 1'!$C$6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'chéques graph 1'!$A$7:$A$27</c:f>
              <c:strCache>
                <c:ptCount val="21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 </c:v>
                </c:pt>
                <c:pt idx="12">
                  <c:v>DIAMA  </c:v>
                </c:pt>
                <c:pt idx="13">
                  <c:v>SGBF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 </c:v>
                </c:pt>
                <c:pt idx="19">
                  <c:v>ACCESS-BANK</c:v>
                </c:pt>
                <c:pt idx="20">
                  <c:v>SFCI</c:v>
                </c:pt>
              </c:strCache>
            </c:strRef>
          </c:cat>
          <c:val>
            <c:numRef>
              <c:f>'chéques graph 1'!$C$7:$C$27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9197-4614-9054-47700C9A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54368"/>
        <c:axId val="1"/>
      </c:barChart>
      <c:catAx>
        <c:axId val="2790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54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6111865326"/>
          <c:y val="0.89148333363641319"/>
          <c:w val="0.52691371164811296"/>
          <c:h val="7.621501700278232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chèques en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'chéques graph2'!$B$6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'chéques graph2'!$A$7:$A$27</c:f>
              <c:strCache>
                <c:ptCount val="21"/>
                <c:pt idx="0">
                  <c:v>BCRG</c:v>
                </c:pt>
                <c:pt idx="1">
                  <c:v>BSIC 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 </c:v>
                </c:pt>
                <c:pt idx="18">
                  <c:v>CORIS  </c:v>
                </c:pt>
                <c:pt idx="19">
                  <c:v>ACCESS </c:v>
                </c:pt>
                <c:pt idx="20">
                  <c:v>SFCI</c:v>
                </c:pt>
              </c:strCache>
            </c:strRef>
          </c:cat>
          <c:val>
            <c:numRef>
              <c:f>'chéques graph2'!$B$7:$B$27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0B85-4159-8424-7E833DB3C833}"/>
            </c:ext>
          </c:extLst>
        </c:ser>
        <c:ser>
          <c:idx val="1"/>
          <c:order val="1"/>
          <c:tx>
            <c:strRef>
              <c:f>'chéques graph2'!$C$6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'chéques graph2'!$A$7:$A$27</c:f>
              <c:strCache>
                <c:ptCount val="21"/>
                <c:pt idx="0">
                  <c:v>BCRG</c:v>
                </c:pt>
                <c:pt idx="1">
                  <c:v>BSIC 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 </c:v>
                </c:pt>
                <c:pt idx="18">
                  <c:v>CORIS  </c:v>
                </c:pt>
                <c:pt idx="19">
                  <c:v>ACCESS </c:v>
                </c:pt>
                <c:pt idx="20">
                  <c:v>SFCI</c:v>
                </c:pt>
              </c:strCache>
            </c:strRef>
          </c:cat>
          <c:val>
            <c:numRef>
              <c:f>'chéques graph2'!$C$7:$C$27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0B85-4159-8424-7E833DB3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44768"/>
        <c:axId val="1"/>
      </c:barChart>
      <c:catAx>
        <c:axId val="27904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447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4624096646"/>
          <c:y val="0.89148333363641319"/>
          <c:w val="0.52691360155323053"/>
          <c:h val="7.621501700278232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7</xdr:row>
      <xdr:rowOff>114300</xdr:rowOff>
    </xdr:from>
    <xdr:to>
      <xdr:col>13</xdr:col>
      <xdr:colOff>88900</xdr:colOff>
      <xdr:row>26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563B8A-8AEA-4C52-8604-E6FA215EF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8</xdr:row>
      <xdr:rowOff>139700</xdr:rowOff>
    </xdr:from>
    <xdr:to>
      <xdr:col>14</xdr:col>
      <xdr:colOff>82550</xdr:colOff>
      <xdr:row>27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18DE57-DD91-46D7-9724-D6901E05D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10</xdr:row>
      <xdr:rowOff>25400</xdr:rowOff>
    </xdr:from>
    <xdr:to>
      <xdr:col>14</xdr:col>
      <xdr:colOff>279400</xdr:colOff>
      <xdr:row>24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0A7A4E-7DC6-489F-8810-88DDE9131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10</xdr:row>
      <xdr:rowOff>69850</xdr:rowOff>
    </xdr:from>
    <xdr:to>
      <xdr:col>16</xdr:col>
      <xdr:colOff>190500</xdr:colOff>
      <xdr:row>24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0005F9-AA82-4773-9E56-6D7F5EE22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1ACF-0D6C-4809-A2BB-870FDB99DAC7}">
  <dimension ref="A1:R35"/>
  <sheetViews>
    <sheetView workbookViewId="0">
      <selection activeCell="Q21" sqref="Q21:R21"/>
    </sheetView>
  </sheetViews>
  <sheetFormatPr baseColWidth="10" defaultColWidth="6.81640625" defaultRowHeight="15.5" x14ac:dyDescent="0.35"/>
  <cols>
    <col min="1" max="1" width="3.7265625" style="1" bestFit="1" customWidth="1"/>
    <col min="2" max="2" width="6.54296875" style="1" bestFit="1" customWidth="1"/>
    <col min="3" max="3" width="54.81640625" style="1" customWidth="1"/>
    <col min="4" max="4" width="13.54296875" style="1" bestFit="1" customWidth="1"/>
    <col min="5" max="5" width="24.453125" style="1" customWidth="1"/>
    <col min="6" max="6" width="13.26953125" style="1" customWidth="1"/>
    <col min="7" max="7" width="25.453125" style="1" customWidth="1"/>
    <col min="8" max="8" width="13.54296875" style="1" bestFit="1" customWidth="1"/>
    <col min="9" max="9" width="24.54296875" style="1" bestFit="1" customWidth="1"/>
    <col min="10" max="10" width="13.54296875" style="1" bestFit="1" customWidth="1"/>
    <col min="11" max="11" width="25.54296875" style="1" customWidth="1"/>
    <col min="12" max="16384" width="6.81640625" style="1"/>
  </cols>
  <sheetData>
    <row r="1" spans="1:11" ht="9.75" customHeight="1" x14ac:dyDescent="0.35"/>
    <row r="2" spans="1:11" ht="20.25" customHeight="1" x14ac:dyDescent="0.35">
      <c r="A2" s="18"/>
      <c r="B2" s="18"/>
      <c r="C2" s="18"/>
      <c r="D2" s="17"/>
      <c r="E2" s="17"/>
      <c r="F2" s="17"/>
      <c r="G2" s="17"/>
      <c r="H2" s="17"/>
      <c r="I2" s="17"/>
      <c r="J2" s="17"/>
      <c r="K2" s="17"/>
    </row>
    <row r="3" spans="1:11" x14ac:dyDescent="0.35">
      <c r="D3" s="40"/>
      <c r="E3" s="40"/>
      <c r="H3" s="40"/>
      <c r="I3" s="40"/>
    </row>
    <row r="4" spans="1:11" ht="20.25" customHeight="1" x14ac:dyDescent="0.35">
      <c r="A4" s="16"/>
      <c r="B4" s="16"/>
      <c r="C4" s="16"/>
      <c r="D4" s="16"/>
      <c r="E4" s="16"/>
      <c r="H4" s="16"/>
      <c r="I4" s="16"/>
    </row>
    <row r="5" spans="1:11" ht="10.5" customHeight="1" x14ac:dyDescent="0.35"/>
    <row r="6" spans="1:11" ht="13.5" customHeight="1" x14ac:dyDescent="0.35">
      <c r="D6" s="41" t="s">
        <v>56</v>
      </c>
      <c r="E6" s="42"/>
      <c r="F6" s="42"/>
      <c r="G6" s="43"/>
      <c r="H6" s="41" t="s">
        <v>55</v>
      </c>
      <c r="I6" s="42"/>
      <c r="J6" s="42"/>
      <c r="K6" s="43"/>
    </row>
    <row r="7" spans="1:11" ht="13.5" customHeight="1" x14ac:dyDescent="0.35">
      <c r="A7" s="14"/>
      <c r="B7" s="14"/>
      <c r="C7" s="14"/>
      <c r="D7" s="44" t="s">
        <v>54</v>
      </c>
      <c r="E7" s="44"/>
      <c r="F7" s="45" t="s">
        <v>53</v>
      </c>
      <c r="G7" s="45"/>
      <c r="H7" s="44" t="s">
        <v>54</v>
      </c>
      <c r="I7" s="44"/>
      <c r="J7" s="45" t="s">
        <v>53</v>
      </c>
      <c r="K7" s="45"/>
    </row>
    <row r="8" spans="1:11" ht="16.5" customHeight="1" x14ac:dyDescent="0.35">
      <c r="A8" s="12" t="s">
        <v>52</v>
      </c>
      <c r="B8" s="12" t="s">
        <v>51</v>
      </c>
      <c r="C8" s="12" t="s">
        <v>50</v>
      </c>
      <c r="D8" s="11" t="s">
        <v>49</v>
      </c>
      <c r="E8" s="11" t="s">
        <v>48</v>
      </c>
      <c r="F8" s="10" t="s">
        <v>49</v>
      </c>
      <c r="G8" s="10" t="s">
        <v>48</v>
      </c>
      <c r="H8" s="11" t="s">
        <v>49</v>
      </c>
      <c r="I8" s="11" t="s">
        <v>48</v>
      </c>
      <c r="J8" s="10" t="s">
        <v>49</v>
      </c>
      <c r="K8" s="10" t="s">
        <v>48</v>
      </c>
    </row>
    <row r="9" spans="1:11" ht="15" customHeight="1" x14ac:dyDescent="0.35">
      <c r="A9" s="8">
        <v>1</v>
      </c>
      <c r="B9" s="8" t="s">
        <v>47</v>
      </c>
      <c r="C9" s="8" t="s">
        <v>46</v>
      </c>
      <c r="D9" s="5"/>
      <c r="E9" s="9"/>
      <c r="F9" s="5"/>
      <c r="G9" s="9"/>
      <c r="H9" s="5"/>
      <c r="I9" s="9"/>
      <c r="J9" s="5"/>
      <c r="K9" s="9"/>
    </row>
    <row r="10" spans="1:11" ht="15" customHeight="1" x14ac:dyDescent="0.35">
      <c r="A10" s="8">
        <v>2</v>
      </c>
      <c r="B10" s="7" t="s">
        <v>45</v>
      </c>
      <c r="C10" s="8" t="s">
        <v>44</v>
      </c>
      <c r="D10" s="5"/>
      <c r="E10" s="9"/>
      <c r="F10" s="5"/>
      <c r="G10" s="9"/>
      <c r="H10" s="5"/>
      <c r="I10" s="9"/>
      <c r="J10" s="5"/>
      <c r="K10" s="9"/>
    </row>
    <row r="11" spans="1:11" x14ac:dyDescent="0.35">
      <c r="A11" s="8">
        <v>3</v>
      </c>
      <c r="B11" s="7" t="s">
        <v>43</v>
      </c>
      <c r="C11" s="6" t="s">
        <v>42</v>
      </c>
      <c r="D11" s="5"/>
      <c r="E11" s="9"/>
      <c r="F11" s="5"/>
      <c r="G11" s="9"/>
      <c r="H11" s="5"/>
      <c r="I11" s="9"/>
      <c r="J11" s="5"/>
      <c r="K11" s="9"/>
    </row>
    <row r="12" spans="1:11" ht="15" customHeight="1" x14ac:dyDescent="0.35">
      <c r="A12" s="8">
        <v>4</v>
      </c>
      <c r="B12" s="7" t="s">
        <v>41</v>
      </c>
      <c r="C12" s="8" t="s">
        <v>40</v>
      </c>
      <c r="D12" s="5"/>
      <c r="E12" s="9"/>
      <c r="F12" s="5"/>
      <c r="G12" s="9"/>
      <c r="H12" s="5"/>
      <c r="I12" s="9"/>
      <c r="J12" s="5"/>
      <c r="K12" s="9"/>
    </row>
    <row r="13" spans="1:11" ht="15" customHeight="1" x14ac:dyDescent="0.35">
      <c r="A13" s="8">
        <v>5</v>
      </c>
      <c r="B13" s="7" t="s">
        <v>39</v>
      </c>
      <c r="C13" s="8" t="s">
        <v>38</v>
      </c>
      <c r="D13" s="5"/>
      <c r="E13" s="9"/>
      <c r="F13" s="5"/>
      <c r="G13" s="9"/>
      <c r="H13" s="5"/>
      <c r="I13" s="9"/>
      <c r="J13" s="5"/>
      <c r="K13" s="9"/>
    </row>
    <row r="14" spans="1:11" ht="15" customHeight="1" x14ac:dyDescent="0.35">
      <c r="A14" s="8">
        <v>6</v>
      </c>
      <c r="B14" s="7" t="s">
        <v>37</v>
      </c>
      <c r="C14" s="8" t="s">
        <v>36</v>
      </c>
      <c r="D14" s="5"/>
      <c r="E14" s="9"/>
      <c r="F14" s="5"/>
      <c r="G14" s="9"/>
      <c r="H14" s="5"/>
      <c r="I14" s="9"/>
      <c r="J14" s="5"/>
      <c r="K14" s="9"/>
    </row>
    <row r="15" spans="1:11" ht="15" customHeight="1" x14ac:dyDescent="0.35">
      <c r="A15" s="8">
        <v>7</v>
      </c>
      <c r="B15" s="7" t="s">
        <v>35</v>
      </c>
      <c r="C15" s="8" t="s">
        <v>34</v>
      </c>
      <c r="D15" s="5"/>
      <c r="E15" s="9"/>
      <c r="F15" s="5"/>
      <c r="G15" s="9"/>
      <c r="H15" s="5"/>
      <c r="I15" s="9"/>
      <c r="J15" s="5"/>
      <c r="K15" s="9"/>
    </row>
    <row r="16" spans="1:11" ht="15" customHeight="1" x14ac:dyDescent="0.35">
      <c r="A16" s="8">
        <v>8</v>
      </c>
      <c r="B16" s="7" t="s">
        <v>33</v>
      </c>
      <c r="C16" s="8" t="s">
        <v>32</v>
      </c>
      <c r="D16" s="5"/>
      <c r="E16" s="9"/>
      <c r="F16" s="5"/>
      <c r="G16" s="9"/>
      <c r="H16" s="5"/>
      <c r="I16" s="9"/>
      <c r="J16" s="5"/>
      <c r="K16" s="9"/>
    </row>
    <row r="17" spans="1:18" ht="15" customHeight="1" x14ac:dyDescent="0.35">
      <c r="A17" s="8">
        <v>9</v>
      </c>
      <c r="B17" s="7" t="s">
        <v>31</v>
      </c>
      <c r="C17" s="8" t="s">
        <v>30</v>
      </c>
      <c r="D17" s="5"/>
      <c r="E17" s="9"/>
      <c r="F17" s="5"/>
      <c r="G17" s="9"/>
      <c r="H17" s="5"/>
      <c r="I17" s="9"/>
      <c r="J17" s="5"/>
      <c r="K17" s="9"/>
    </row>
    <row r="18" spans="1:18" ht="15" customHeight="1" x14ac:dyDescent="0.35">
      <c r="A18" s="8">
        <v>10</v>
      </c>
      <c r="B18" s="7" t="s">
        <v>29</v>
      </c>
      <c r="C18" s="8" t="s">
        <v>28</v>
      </c>
      <c r="D18" s="5"/>
      <c r="E18" s="9"/>
      <c r="F18" s="5"/>
      <c r="G18" s="9"/>
      <c r="H18" s="5"/>
      <c r="I18" s="9"/>
      <c r="J18" s="5"/>
      <c r="K18" s="9"/>
    </row>
    <row r="19" spans="1:18" ht="15" customHeight="1" x14ac:dyDescent="0.35">
      <c r="A19" s="8">
        <v>11</v>
      </c>
      <c r="B19" s="7" t="s">
        <v>27</v>
      </c>
      <c r="C19" s="8" t="s">
        <v>26</v>
      </c>
      <c r="D19" s="5"/>
      <c r="E19" s="9"/>
      <c r="F19" s="5"/>
      <c r="G19" s="9"/>
      <c r="H19" s="5"/>
      <c r="I19" s="9"/>
      <c r="J19" s="5"/>
      <c r="K19" s="9"/>
    </row>
    <row r="20" spans="1:18" ht="15" customHeight="1" x14ac:dyDescent="0.35">
      <c r="A20" s="8">
        <v>12</v>
      </c>
      <c r="B20" s="7" t="s">
        <v>25</v>
      </c>
      <c r="C20" s="8" t="s">
        <v>24</v>
      </c>
      <c r="D20" s="5"/>
      <c r="E20" s="9"/>
      <c r="F20" s="5"/>
      <c r="G20" s="9"/>
      <c r="H20" s="5"/>
      <c r="I20" s="9"/>
      <c r="J20" s="5"/>
      <c r="K20" s="9"/>
    </row>
    <row r="21" spans="1:18" ht="15" customHeight="1" x14ac:dyDescent="0.35">
      <c r="A21" s="8">
        <v>13</v>
      </c>
      <c r="B21" s="7" t="s">
        <v>23</v>
      </c>
      <c r="C21" s="8" t="s">
        <v>22</v>
      </c>
      <c r="D21" s="5"/>
      <c r="E21" s="9"/>
      <c r="F21" s="5"/>
      <c r="G21" s="9"/>
      <c r="H21" s="5"/>
      <c r="I21" s="9"/>
      <c r="J21" s="5"/>
      <c r="K21" s="9"/>
    </row>
    <row r="22" spans="1:18" ht="15" customHeight="1" x14ac:dyDescent="0.35">
      <c r="A22" s="8">
        <v>14</v>
      </c>
      <c r="B22" s="7" t="s">
        <v>21</v>
      </c>
      <c r="C22" s="8" t="s">
        <v>20</v>
      </c>
      <c r="D22" s="5"/>
      <c r="E22" s="9"/>
      <c r="F22" s="5"/>
      <c r="G22" s="9"/>
      <c r="H22" s="5"/>
      <c r="I22" s="9"/>
      <c r="J22" s="5"/>
      <c r="K22" s="9"/>
      <c r="Q22" s="1" t="s">
        <v>3</v>
      </c>
    </row>
    <row r="23" spans="1:18" ht="15" customHeight="1" x14ac:dyDescent="0.35">
      <c r="A23" s="8">
        <v>15</v>
      </c>
      <c r="B23" s="7" t="s">
        <v>19</v>
      </c>
      <c r="C23" s="8" t="s">
        <v>18</v>
      </c>
      <c r="D23" s="5"/>
      <c r="E23" s="9"/>
      <c r="F23" s="5"/>
      <c r="G23" s="9"/>
      <c r="H23" s="5"/>
      <c r="I23" s="9"/>
      <c r="J23" s="5"/>
      <c r="K23" s="9"/>
    </row>
    <row r="24" spans="1:18" ht="15" customHeight="1" x14ac:dyDescent="0.35">
      <c r="A24" s="8">
        <v>16</v>
      </c>
      <c r="B24" s="7" t="s">
        <v>17</v>
      </c>
      <c r="C24" s="8" t="s">
        <v>16</v>
      </c>
      <c r="D24" s="5"/>
      <c r="E24" s="9"/>
      <c r="F24" s="5"/>
      <c r="G24" s="9"/>
      <c r="H24" s="5"/>
      <c r="I24" s="9"/>
      <c r="J24" s="5"/>
      <c r="K24" s="9"/>
    </row>
    <row r="25" spans="1:18" ht="15" customHeight="1" x14ac:dyDescent="0.35">
      <c r="A25" s="8">
        <v>17</v>
      </c>
      <c r="B25" s="7" t="s">
        <v>15</v>
      </c>
      <c r="C25" s="8" t="s">
        <v>14</v>
      </c>
      <c r="D25" s="5"/>
      <c r="E25" s="9"/>
      <c r="F25" s="5"/>
      <c r="G25" s="9"/>
      <c r="H25" s="5"/>
      <c r="I25" s="9"/>
      <c r="J25" s="5"/>
      <c r="K25" s="9"/>
    </row>
    <row r="26" spans="1:18" ht="15" customHeight="1" x14ac:dyDescent="0.35">
      <c r="A26" s="8">
        <v>18</v>
      </c>
      <c r="B26" s="7" t="s">
        <v>13</v>
      </c>
      <c r="C26" s="8" t="s">
        <v>12</v>
      </c>
      <c r="D26" s="5"/>
      <c r="E26" s="9"/>
      <c r="F26" s="5"/>
      <c r="G26" s="9"/>
      <c r="H26" s="5"/>
      <c r="I26" s="9"/>
      <c r="J26" s="5"/>
      <c r="K26" s="9"/>
    </row>
    <row r="27" spans="1:18" ht="15" customHeight="1" x14ac:dyDescent="0.35">
      <c r="A27" s="8">
        <v>19</v>
      </c>
      <c r="B27" s="7" t="s">
        <v>11</v>
      </c>
      <c r="C27" s="8" t="s">
        <v>10</v>
      </c>
      <c r="D27" s="5"/>
      <c r="E27" s="9"/>
      <c r="F27" s="5"/>
      <c r="G27" s="9"/>
      <c r="H27" s="5"/>
      <c r="I27" s="9"/>
      <c r="J27" s="5"/>
      <c r="K27" s="9"/>
    </row>
    <row r="28" spans="1:18" x14ac:dyDescent="0.35">
      <c r="A28" s="8">
        <v>20</v>
      </c>
      <c r="B28" s="7" t="s">
        <v>9</v>
      </c>
      <c r="C28" s="8" t="s">
        <v>8</v>
      </c>
      <c r="D28" s="5"/>
      <c r="E28" s="5"/>
      <c r="F28" s="5"/>
      <c r="G28" s="5"/>
      <c r="H28" s="5"/>
      <c r="I28" s="5"/>
      <c r="J28" s="5"/>
      <c r="K28" s="5"/>
      <c r="Q28" s="1" t="s">
        <v>3</v>
      </c>
    </row>
    <row r="29" spans="1:18" ht="15" customHeight="1" x14ac:dyDescent="0.35">
      <c r="A29" s="8">
        <v>21</v>
      </c>
      <c r="B29" s="7" t="s">
        <v>7</v>
      </c>
      <c r="C29" s="8" t="s">
        <v>6</v>
      </c>
      <c r="D29" s="5"/>
      <c r="E29" s="9"/>
      <c r="F29" s="5"/>
      <c r="G29" s="9"/>
      <c r="H29" s="5"/>
      <c r="I29" s="9"/>
      <c r="J29" s="5"/>
      <c r="K29" s="9"/>
    </row>
    <row r="30" spans="1:18" x14ac:dyDescent="0.35">
      <c r="A30" s="8">
        <v>22</v>
      </c>
      <c r="B30" s="7" t="s">
        <v>5</v>
      </c>
      <c r="C30" s="8" t="s">
        <v>4</v>
      </c>
      <c r="D30" s="5"/>
      <c r="E30" s="5"/>
      <c r="F30" s="5"/>
      <c r="G30" s="5"/>
      <c r="H30" s="5"/>
      <c r="I30" s="5"/>
      <c r="J30" s="5"/>
      <c r="K30" s="5"/>
      <c r="O30" s="1" t="s">
        <v>3</v>
      </c>
      <c r="R30" s="1" t="s">
        <v>3</v>
      </c>
    </row>
    <row r="31" spans="1:18" ht="26.25" customHeight="1" x14ac:dyDescent="0.35">
      <c r="A31" s="8">
        <v>23</v>
      </c>
      <c r="B31" s="7" t="s">
        <v>2</v>
      </c>
      <c r="C31" s="6" t="s">
        <v>1</v>
      </c>
      <c r="D31" s="5"/>
      <c r="E31" s="5"/>
      <c r="F31" s="5"/>
      <c r="G31" s="5"/>
      <c r="H31" s="5"/>
      <c r="I31" s="5"/>
      <c r="J31" s="5"/>
      <c r="K31" s="5"/>
    </row>
    <row r="32" spans="1:18" x14ac:dyDescent="0.35">
      <c r="A32" s="37" t="s">
        <v>0</v>
      </c>
      <c r="B32" s="38"/>
      <c r="C32" s="39"/>
      <c r="D32" s="2">
        <f t="shared" ref="D32:K32" si="0">SUM(D9:D31)</f>
        <v>0</v>
      </c>
      <c r="E32" s="2">
        <f t="shared" si="0"/>
        <v>0</v>
      </c>
      <c r="F32" s="2">
        <f t="shared" si="0"/>
        <v>0</v>
      </c>
      <c r="G32" s="2">
        <f t="shared" si="0"/>
        <v>0</v>
      </c>
      <c r="H32" s="2">
        <f t="shared" si="0"/>
        <v>0</v>
      </c>
      <c r="I32" s="2">
        <f t="shared" si="0"/>
        <v>0</v>
      </c>
      <c r="J32" s="2">
        <f t="shared" si="0"/>
        <v>0</v>
      </c>
      <c r="K32" s="2">
        <f t="shared" si="0"/>
        <v>0</v>
      </c>
    </row>
    <row r="33" spans="5:10" ht="18" customHeight="1" x14ac:dyDescent="0.35"/>
    <row r="34" spans="5:10" ht="13.5" customHeight="1" x14ac:dyDescent="0.35">
      <c r="E34" s="2"/>
      <c r="F34" s="3"/>
      <c r="I34" s="4"/>
      <c r="J34" s="3"/>
    </row>
    <row r="35" spans="5:10" x14ac:dyDescent="0.35">
      <c r="E35" s="2"/>
    </row>
  </sheetData>
  <mergeCells count="9">
    <mergeCell ref="A32:C32"/>
    <mergeCell ref="D3:E3"/>
    <mergeCell ref="D6:G6"/>
    <mergeCell ref="H3:I3"/>
    <mergeCell ref="H6:K6"/>
    <mergeCell ref="H7:I7"/>
    <mergeCell ref="J7:K7"/>
    <mergeCell ref="D7:E7"/>
    <mergeCell ref="F7:G7"/>
  </mergeCells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4C8C-17A2-4AF7-888A-4B1B7D862201}">
  <dimension ref="A1:O52"/>
  <sheetViews>
    <sheetView topLeftCell="A2" workbookViewId="0">
      <selection activeCell="A35" sqref="A35"/>
    </sheetView>
  </sheetViews>
  <sheetFormatPr baseColWidth="10" defaultColWidth="6.81640625" defaultRowHeight="15.5" x14ac:dyDescent="0.35"/>
  <cols>
    <col min="1" max="1" width="3.7265625" style="1" customWidth="1"/>
    <col min="2" max="2" width="7.26953125" style="1" customWidth="1"/>
    <col min="3" max="3" width="10" style="1" customWidth="1"/>
    <col min="4" max="4" width="13.54296875" style="1" bestFit="1" customWidth="1"/>
    <col min="5" max="5" width="24.54296875" style="1" bestFit="1" customWidth="1"/>
    <col min="6" max="7" width="25.81640625" style="1" bestFit="1" customWidth="1"/>
    <col min="8" max="8" width="27" style="1" customWidth="1"/>
    <col min="9" max="9" width="24.54296875" style="1" bestFit="1" customWidth="1"/>
    <col min="10" max="10" width="13.54296875" style="1" bestFit="1" customWidth="1"/>
    <col min="11" max="11" width="25.81640625" style="1" bestFit="1" customWidth="1"/>
    <col min="12" max="12" width="9.453125" style="1" bestFit="1" customWidth="1"/>
    <col min="13" max="13" width="9.81640625" style="1" bestFit="1" customWidth="1"/>
    <col min="14" max="14" width="9.453125" style="1" bestFit="1" customWidth="1"/>
    <col min="15" max="15" width="9.81640625" style="1" bestFit="1" customWidth="1"/>
    <col min="16" max="16384" width="6.81640625" style="1"/>
  </cols>
  <sheetData>
    <row r="1" spans="1:15" ht="9.75" customHeight="1" x14ac:dyDescent="0.35"/>
    <row r="2" spans="1:15" ht="20.25" customHeight="1" x14ac:dyDescent="0.35">
      <c r="A2" s="18"/>
      <c r="B2" s="18"/>
      <c r="C2" s="18"/>
      <c r="D2" s="17"/>
      <c r="E2" s="17"/>
      <c r="F2" s="17"/>
      <c r="G2" s="17"/>
      <c r="H2" s="17"/>
      <c r="I2" s="17"/>
      <c r="J2" s="17"/>
      <c r="K2" s="17"/>
    </row>
    <row r="3" spans="1:15" x14ac:dyDescent="0.35">
      <c r="D3" s="40"/>
      <c r="E3" s="40"/>
      <c r="H3" s="40"/>
      <c r="I3" s="40"/>
    </row>
    <row r="4" spans="1:15" ht="20.25" customHeight="1" x14ac:dyDescent="0.35">
      <c r="A4" s="16"/>
      <c r="B4" s="16"/>
      <c r="C4" s="16"/>
      <c r="D4" s="16"/>
      <c r="E4" s="16"/>
      <c r="H4" s="16"/>
      <c r="I4" s="16"/>
    </row>
    <row r="5" spans="1:15" ht="10.5" customHeight="1" x14ac:dyDescent="0.35"/>
    <row r="6" spans="1:15" ht="13.5" customHeight="1" x14ac:dyDescent="0.35">
      <c r="D6" s="41" t="s">
        <v>59</v>
      </c>
      <c r="E6" s="42"/>
      <c r="F6" s="42"/>
      <c r="G6" s="43"/>
      <c r="H6" s="41" t="s">
        <v>58</v>
      </c>
      <c r="I6" s="42"/>
      <c r="J6" s="42"/>
      <c r="K6" s="43"/>
      <c r="L6" s="46" t="s">
        <v>57</v>
      </c>
      <c r="M6" s="46"/>
      <c r="N6" s="46"/>
      <c r="O6" s="46"/>
    </row>
    <row r="7" spans="1:15" ht="13.5" customHeight="1" x14ac:dyDescent="0.35">
      <c r="A7" s="14"/>
      <c r="B7" s="14"/>
      <c r="C7" s="14"/>
      <c r="D7" s="44" t="s">
        <v>54</v>
      </c>
      <c r="E7" s="44"/>
      <c r="F7" s="45" t="s">
        <v>53</v>
      </c>
      <c r="G7" s="45"/>
      <c r="H7" s="44" t="s">
        <v>54</v>
      </c>
      <c r="I7" s="44"/>
      <c r="J7" s="45" t="s">
        <v>53</v>
      </c>
      <c r="K7" s="45"/>
      <c r="L7" s="44" t="s">
        <v>54</v>
      </c>
      <c r="M7" s="44"/>
      <c r="N7" s="45" t="s">
        <v>53</v>
      </c>
      <c r="O7" s="45"/>
    </row>
    <row r="8" spans="1:15" ht="16.5" customHeight="1" x14ac:dyDescent="0.35">
      <c r="A8" s="12" t="s">
        <v>52</v>
      </c>
      <c r="B8" s="12" t="s">
        <v>51</v>
      </c>
      <c r="C8" s="12" t="s">
        <v>50</v>
      </c>
      <c r="D8" s="11" t="s">
        <v>49</v>
      </c>
      <c r="E8" s="11" t="s">
        <v>48</v>
      </c>
      <c r="F8" s="10" t="s">
        <v>49</v>
      </c>
      <c r="G8" s="10" t="s">
        <v>48</v>
      </c>
      <c r="H8" s="11" t="s">
        <v>49</v>
      </c>
      <c r="I8" s="11" t="s">
        <v>48</v>
      </c>
      <c r="J8" s="10" t="s">
        <v>49</v>
      </c>
      <c r="K8" s="10" t="s">
        <v>48</v>
      </c>
      <c r="L8" s="11" t="s">
        <v>49</v>
      </c>
      <c r="M8" s="11" t="s">
        <v>48</v>
      </c>
      <c r="N8" s="10" t="s">
        <v>49</v>
      </c>
      <c r="O8" s="10" t="s">
        <v>48</v>
      </c>
    </row>
    <row r="9" spans="1:15" ht="15" hidden="1" customHeight="1" x14ac:dyDescent="0.35">
      <c r="A9" s="8">
        <v>1</v>
      </c>
      <c r="B9" s="8" t="s">
        <v>47</v>
      </c>
      <c r="C9" s="8" t="s">
        <v>46</v>
      </c>
      <c r="D9" s="21">
        <v>21771</v>
      </c>
      <c r="E9" s="22">
        <v>323078920522</v>
      </c>
      <c r="F9" s="21">
        <v>2270</v>
      </c>
      <c r="G9" s="22">
        <v>358363555931</v>
      </c>
      <c r="H9" s="5">
        <v>18145</v>
      </c>
      <c r="I9" s="9">
        <v>324647050155</v>
      </c>
      <c r="J9" s="5">
        <v>4076</v>
      </c>
      <c r="K9" s="9">
        <v>513655269256</v>
      </c>
      <c r="L9" s="23" t="e">
        <f>(P3-L3)/L3</f>
        <v>#DIV/0!</v>
      </c>
      <c r="M9" s="23" t="e">
        <f>(Q3-M3)/M3</f>
        <v>#DIV/0!</v>
      </c>
      <c r="N9" s="23" t="e">
        <f>(R3-N3)/N3</f>
        <v>#DIV/0!</v>
      </c>
      <c r="O9" s="23" t="e">
        <f>(S3-O3)/O3</f>
        <v>#DIV/0!</v>
      </c>
    </row>
    <row r="10" spans="1:15" ht="15" hidden="1" customHeight="1" x14ac:dyDescent="0.35">
      <c r="A10" s="8">
        <v>2</v>
      </c>
      <c r="B10" s="7" t="s">
        <v>45</v>
      </c>
      <c r="C10" s="8" t="s">
        <v>44</v>
      </c>
      <c r="D10" s="21">
        <v>1249</v>
      </c>
      <c r="E10" s="22">
        <v>92029158818</v>
      </c>
      <c r="F10" s="21">
        <v>7874</v>
      </c>
      <c r="G10" s="22">
        <v>1203626627250</v>
      </c>
      <c r="H10" s="5">
        <v>1352</v>
      </c>
      <c r="I10" s="9">
        <v>96680688842</v>
      </c>
      <c r="J10" s="5">
        <v>7965</v>
      </c>
      <c r="K10" s="9">
        <v>1603634760056</v>
      </c>
      <c r="L10" s="20"/>
      <c r="M10" s="20"/>
      <c r="N10" s="20"/>
      <c r="O10" s="20"/>
    </row>
    <row r="11" spans="1:15" ht="54" hidden="1" x14ac:dyDescent="0.35">
      <c r="A11" s="8">
        <v>3</v>
      </c>
      <c r="B11" s="7" t="s">
        <v>43</v>
      </c>
      <c r="C11" s="6" t="s">
        <v>42</v>
      </c>
      <c r="D11" s="21">
        <v>17721</v>
      </c>
      <c r="E11" s="22">
        <v>506368491501</v>
      </c>
      <c r="F11" s="21">
        <v>14983</v>
      </c>
      <c r="G11" s="22">
        <v>1507509542489</v>
      </c>
      <c r="H11" s="5">
        <v>21568</v>
      </c>
      <c r="I11" s="9">
        <v>495989378900</v>
      </c>
      <c r="J11" s="5">
        <v>11407</v>
      </c>
      <c r="K11" s="9">
        <v>1443009075551</v>
      </c>
      <c r="L11" s="20"/>
      <c r="M11" s="20"/>
      <c r="N11" s="20"/>
      <c r="O11" s="20"/>
    </row>
    <row r="12" spans="1:15" ht="15" hidden="1" customHeight="1" x14ac:dyDescent="0.35">
      <c r="A12" s="8">
        <v>4</v>
      </c>
      <c r="B12" s="7" t="s">
        <v>41</v>
      </c>
      <c r="C12" s="8" t="s">
        <v>40</v>
      </c>
      <c r="D12" s="21">
        <v>1212</v>
      </c>
      <c r="E12" s="22">
        <v>10693380004</v>
      </c>
      <c r="F12" s="21">
        <v>2807</v>
      </c>
      <c r="G12" s="22">
        <v>425049000662</v>
      </c>
      <c r="H12" s="5">
        <v>2235</v>
      </c>
      <c r="I12" s="9">
        <v>14149927171</v>
      </c>
      <c r="J12" s="5">
        <v>3250</v>
      </c>
      <c r="K12" s="9">
        <v>513384488615</v>
      </c>
      <c r="L12" s="20"/>
      <c r="M12" s="20"/>
      <c r="N12" s="20"/>
      <c r="O12" s="20"/>
    </row>
    <row r="13" spans="1:15" ht="15" hidden="1" customHeight="1" x14ac:dyDescent="0.35">
      <c r="A13" s="8">
        <v>5</v>
      </c>
      <c r="B13" s="7" t="s">
        <v>39</v>
      </c>
      <c r="C13" s="8" t="s">
        <v>38</v>
      </c>
      <c r="D13" s="21">
        <v>1618</v>
      </c>
      <c r="E13" s="22">
        <v>84157234458</v>
      </c>
      <c r="F13" s="21">
        <v>5270</v>
      </c>
      <c r="G13" s="22">
        <v>583679705930</v>
      </c>
      <c r="H13" s="5">
        <v>4848</v>
      </c>
      <c r="I13" s="9">
        <v>171632760396</v>
      </c>
      <c r="J13" s="5">
        <v>7033</v>
      </c>
      <c r="K13" s="9">
        <v>1094731696659</v>
      </c>
      <c r="L13" s="20"/>
      <c r="M13" s="20"/>
      <c r="N13" s="20"/>
      <c r="O13" s="20"/>
    </row>
    <row r="14" spans="1:15" ht="15" hidden="1" customHeight="1" x14ac:dyDescent="0.35">
      <c r="A14" s="8">
        <v>6</v>
      </c>
      <c r="B14" s="7" t="s">
        <v>37</v>
      </c>
      <c r="C14" s="8" t="s">
        <v>36</v>
      </c>
      <c r="D14" s="21">
        <v>14143</v>
      </c>
      <c r="E14" s="22">
        <v>285746233865</v>
      </c>
      <c r="F14" s="21">
        <v>14023</v>
      </c>
      <c r="G14" s="22">
        <v>1392848543943</v>
      </c>
      <c r="H14" s="5">
        <v>7446</v>
      </c>
      <c r="I14" s="9">
        <v>304556591821</v>
      </c>
      <c r="J14" s="5">
        <v>15079</v>
      </c>
      <c r="K14" s="9">
        <v>1612336978225</v>
      </c>
      <c r="L14" s="20"/>
      <c r="M14" s="20"/>
      <c r="N14" s="20"/>
      <c r="O14" s="20"/>
    </row>
    <row r="15" spans="1:15" ht="15" hidden="1" customHeight="1" x14ac:dyDescent="0.35">
      <c r="A15" s="8">
        <v>7</v>
      </c>
      <c r="B15" s="7" t="s">
        <v>35</v>
      </c>
      <c r="C15" s="8" t="s">
        <v>34</v>
      </c>
      <c r="D15" s="21">
        <v>6794</v>
      </c>
      <c r="E15" s="22">
        <v>626878984885</v>
      </c>
      <c r="F15" s="21">
        <v>8291</v>
      </c>
      <c r="G15" s="22">
        <v>910273631359</v>
      </c>
      <c r="H15" s="5">
        <v>6853</v>
      </c>
      <c r="I15" s="9">
        <v>695909392819</v>
      </c>
      <c r="J15" s="5">
        <v>7774</v>
      </c>
      <c r="K15" s="9">
        <v>809761581962</v>
      </c>
      <c r="L15" s="20"/>
      <c r="M15" s="20"/>
      <c r="N15" s="20"/>
      <c r="O15" s="20"/>
    </row>
    <row r="16" spans="1:15" ht="15" hidden="1" customHeight="1" x14ac:dyDescent="0.35">
      <c r="A16" s="8">
        <v>8</v>
      </c>
      <c r="B16" s="7" t="s">
        <v>33</v>
      </c>
      <c r="C16" s="8" t="s">
        <v>32</v>
      </c>
      <c r="D16" s="21">
        <v>13423</v>
      </c>
      <c r="E16" s="22">
        <v>231631824549</v>
      </c>
      <c r="F16" s="21">
        <v>9051</v>
      </c>
      <c r="G16" s="22">
        <v>665474736725</v>
      </c>
      <c r="H16" s="5">
        <v>17463</v>
      </c>
      <c r="I16" s="9">
        <v>239164840857</v>
      </c>
      <c r="J16" s="5">
        <v>10330</v>
      </c>
      <c r="K16" s="9">
        <v>886245128679</v>
      </c>
      <c r="L16" s="20"/>
      <c r="M16" s="20"/>
      <c r="N16" s="20"/>
      <c r="O16" s="20"/>
    </row>
    <row r="17" spans="1:15" ht="15" hidden="1" customHeight="1" x14ac:dyDescent="0.35">
      <c r="A17" s="8">
        <v>9</v>
      </c>
      <c r="B17" s="7" t="s">
        <v>31</v>
      </c>
      <c r="C17" s="8" t="s">
        <v>30</v>
      </c>
      <c r="D17" s="21">
        <v>3691</v>
      </c>
      <c r="E17" s="22">
        <v>116130576779</v>
      </c>
      <c r="F17" s="21">
        <v>8188</v>
      </c>
      <c r="G17" s="22">
        <v>1027459967155</v>
      </c>
      <c r="H17" s="5">
        <v>2739</v>
      </c>
      <c r="I17" s="9">
        <v>153435642646</v>
      </c>
      <c r="J17" s="5">
        <v>8032</v>
      </c>
      <c r="K17" s="9">
        <v>1049891060695</v>
      </c>
      <c r="L17" s="20"/>
      <c r="M17" s="20"/>
      <c r="N17" s="20"/>
      <c r="O17" s="20"/>
    </row>
    <row r="18" spans="1:15" ht="15" hidden="1" customHeight="1" x14ac:dyDescent="0.35">
      <c r="A18" s="8">
        <v>10</v>
      </c>
      <c r="B18" s="7" t="s">
        <v>29</v>
      </c>
      <c r="C18" s="8" t="s">
        <v>28</v>
      </c>
      <c r="D18" s="21">
        <v>44364</v>
      </c>
      <c r="E18" s="22">
        <v>992228455646</v>
      </c>
      <c r="F18" s="21">
        <v>20610</v>
      </c>
      <c r="G18" s="22">
        <v>2581974647567</v>
      </c>
      <c r="H18" s="5">
        <v>54812</v>
      </c>
      <c r="I18" s="9">
        <v>1180173680862</v>
      </c>
      <c r="J18" s="5">
        <v>23727</v>
      </c>
      <c r="K18" s="9">
        <v>3794953113134</v>
      </c>
      <c r="L18" s="20"/>
      <c r="M18" s="20"/>
      <c r="N18" s="20"/>
      <c r="O18" s="20"/>
    </row>
    <row r="19" spans="1:15" ht="15" hidden="1" customHeight="1" x14ac:dyDescent="0.35">
      <c r="A19" s="8">
        <v>11</v>
      </c>
      <c r="B19" s="7" t="s">
        <v>27</v>
      </c>
      <c r="C19" s="8" t="s">
        <v>26</v>
      </c>
      <c r="D19" s="21">
        <v>0</v>
      </c>
      <c r="E19" s="22">
        <v>0</v>
      </c>
      <c r="F19" s="21">
        <v>0</v>
      </c>
      <c r="G19" s="22">
        <v>0</v>
      </c>
      <c r="H19" s="5">
        <v>0</v>
      </c>
      <c r="I19" s="9">
        <v>0</v>
      </c>
      <c r="J19" s="5">
        <v>0</v>
      </c>
      <c r="K19" s="9">
        <v>0</v>
      </c>
      <c r="L19" s="20"/>
      <c r="M19" s="20"/>
      <c r="N19" s="20"/>
      <c r="O19" s="20"/>
    </row>
    <row r="20" spans="1:15" ht="15" hidden="1" customHeight="1" x14ac:dyDescent="0.35">
      <c r="A20" s="8">
        <v>12</v>
      </c>
      <c r="B20" s="7" t="s">
        <v>25</v>
      </c>
      <c r="C20" s="8" t="s">
        <v>24</v>
      </c>
      <c r="D20" s="21">
        <v>3056</v>
      </c>
      <c r="E20" s="22">
        <v>102561369639</v>
      </c>
      <c r="F20" s="21">
        <v>9587</v>
      </c>
      <c r="G20" s="22">
        <v>1473022316154</v>
      </c>
      <c r="H20" s="5">
        <v>3652</v>
      </c>
      <c r="I20" s="9">
        <v>112009916806</v>
      </c>
      <c r="J20" s="5">
        <v>238</v>
      </c>
      <c r="K20" s="9">
        <v>9855056860</v>
      </c>
      <c r="L20" s="20"/>
      <c r="M20" s="20"/>
      <c r="N20" s="20"/>
      <c r="O20" s="20"/>
    </row>
    <row r="21" spans="1:15" ht="15" hidden="1" customHeight="1" x14ac:dyDescent="0.35">
      <c r="A21" s="8">
        <v>13</v>
      </c>
      <c r="B21" s="7" t="s">
        <v>23</v>
      </c>
      <c r="C21" s="8" t="s">
        <v>22</v>
      </c>
      <c r="D21" s="21">
        <v>1875</v>
      </c>
      <c r="E21" s="22">
        <v>51634960932</v>
      </c>
      <c r="F21" s="21">
        <v>5607</v>
      </c>
      <c r="G21" s="22">
        <v>539804455347</v>
      </c>
      <c r="H21" s="5">
        <v>2499</v>
      </c>
      <c r="I21" s="9">
        <v>86501504318</v>
      </c>
      <c r="J21" s="5">
        <v>5311</v>
      </c>
      <c r="K21" s="9">
        <v>609524336180</v>
      </c>
      <c r="L21" s="20"/>
      <c r="M21" s="20"/>
      <c r="N21" s="20"/>
      <c r="O21" s="20"/>
    </row>
    <row r="22" spans="1:15" ht="15" hidden="1" customHeight="1" x14ac:dyDescent="0.35">
      <c r="A22" s="8">
        <v>14</v>
      </c>
      <c r="B22" s="7" t="s">
        <v>21</v>
      </c>
      <c r="C22" s="8" t="s">
        <v>20</v>
      </c>
      <c r="D22" s="21">
        <v>37</v>
      </c>
      <c r="E22" s="22">
        <v>10570651750</v>
      </c>
      <c r="F22" s="21">
        <v>161</v>
      </c>
      <c r="G22" s="22">
        <v>50326268030</v>
      </c>
      <c r="H22" s="5">
        <v>637</v>
      </c>
      <c r="I22" s="9">
        <v>6167421052</v>
      </c>
      <c r="J22" s="5">
        <v>954</v>
      </c>
      <c r="K22" s="9">
        <v>177393322462</v>
      </c>
      <c r="L22" s="20"/>
      <c r="M22" s="20"/>
      <c r="N22" s="20"/>
      <c r="O22" s="20"/>
    </row>
    <row r="23" spans="1:15" ht="15" hidden="1" customHeight="1" x14ac:dyDescent="0.35">
      <c r="A23" s="8">
        <v>15</v>
      </c>
      <c r="B23" s="7" t="s">
        <v>19</v>
      </c>
      <c r="C23" s="8" t="s">
        <v>18</v>
      </c>
      <c r="D23" s="21">
        <v>52018</v>
      </c>
      <c r="E23" s="22">
        <v>1581404238695</v>
      </c>
      <c r="F23" s="21">
        <v>21481</v>
      </c>
      <c r="G23" s="22">
        <v>3185030295018</v>
      </c>
      <c r="H23" s="5">
        <v>57738</v>
      </c>
      <c r="I23" s="9">
        <v>1919537920113</v>
      </c>
      <c r="J23" s="5">
        <v>21811</v>
      </c>
      <c r="K23" s="9">
        <v>4506024095068</v>
      </c>
      <c r="L23" s="20"/>
      <c r="M23" s="20"/>
      <c r="N23" s="20"/>
      <c r="O23" s="20"/>
    </row>
    <row r="24" spans="1:15" ht="15" hidden="1" customHeight="1" x14ac:dyDescent="0.35">
      <c r="A24" s="8">
        <v>16</v>
      </c>
      <c r="B24" s="7" t="s">
        <v>17</v>
      </c>
      <c r="C24" s="8" t="s">
        <v>16</v>
      </c>
      <c r="D24" s="21">
        <v>249</v>
      </c>
      <c r="E24" s="22">
        <v>29232267654</v>
      </c>
      <c r="F24" s="21">
        <v>3566</v>
      </c>
      <c r="G24" s="22">
        <v>910819694458</v>
      </c>
      <c r="H24" s="5">
        <v>699</v>
      </c>
      <c r="I24" s="9">
        <v>90693064148</v>
      </c>
      <c r="J24" s="5">
        <v>5569</v>
      </c>
      <c r="K24" s="9">
        <v>2002087823170</v>
      </c>
      <c r="L24" s="20"/>
      <c r="M24" s="20"/>
      <c r="N24" s="20"/>
      <c r="O24" s="20"/>
    </row>
    <row r="25" spans="1:15" ht="15" hidden="1" customHeight="1" x14ac:dyDescent="0.35">
      <c r="A25" s="8">
        <v>17</v>
      </c>
      <c r="B25" s="7" t="s">
        <v>15</v>
      </c>
      <c r="C25" s="8" t="s">
        <v>14</v>
      </c>
      <c r="D25" s="21">
        <v>3620</v>
      </c>
      <c r="E25" s="22">
        <v>224971377868</v>
      </c>
      <c r="F25" s="21">
        <v>14096</v>
      </c>
      <c r="G25" s="22">
        <v>2209307947952</v>
      </c>
      <c r="H25" s="5">
        <v>3959</v>
      </c>
      <c r="I25" s="9">
        <v>260687237409</v>
      </c>
      <c r="J25" s="5">
        <v>15147</v>
      </c>
      <c r="K25" s="9">
        <v>2008737300014</v>
      </c>
      <c r="L25" s="20"/>
      <c r="M25" s="20"/>
      <c r="N25" s="20"/>
      <c r="O25" s="20"/>
    </row>
    <row r="26" spans="1:15" ht="15" hidden="1" customHeight="1" x14ac:dyDescent="0.35">
      <c r="A26" s="8">
        <v>18</v>
      </c>
      <c r="B26" s="7" t="s">
        <v>13</v>
      </c>
      <c r="C26" s="8" t="s">
        <v>12</v>
      </c>
      <c r="D26" s="21">
        <v>166</v>
      </c>
      <c r="E26" s="22">
        <v>6227574677</v>
      </c>
      <c r="F26" s="21">
        <v>3744</v>
      </c>
      <c r="G26" s="22">
        <v>620711695039</v>
      </c>
      <c r="H26" s="5">
        <v>367</v>
      </c>
      <c r="I26" s="9">
        <v>13203197580</v>
      </c>
      <c r="J26" s="5">
        <v>3179</v>
      </c>
      <c r="K26" s="9">
        <v>475487306545</v>
      </c>
      <c r="L26" s="20"/>
      <c r="M26" s="20"/>
      <c r="N26" s="20"/>
      <c r="O26" s="20"/>
    </row>
    <row r="27" spans="1:15" ht="15" hidden="1" customHeight="1" x14ac:dyDescent="0.35">
      <c r="A27" s="8">
        <v>19</v>
      </c>
      <c r="B27" s="7" t="s">
        <v>11</v>
      </c>
      <c r="C27" s="8" t="s">
        <v>10</v>
      </c>
      <c r="D27" s="21">
        <v>0</v>
      </c>
      <c r="E27" s="22">
        <v>0</v>
      </c>
      <c r="F27" s="21">
        <v>0</v>
      </c>
      <c r="G27" s="22">
        <v>0</v>
      </c>
      <c r="H27" s="5">
        <v>0</v>
      </c>
      <c r="I27" s="9">
        <v>0</v>
      </c>
      <c r="J27" s="5">
        <v>52</v>
      </c>
      <c r="K27" s="9">
        <v>11189071382</v>
      </c>
      <c r="L27" s="20"/>
      <c r="M27" s="20"/>
      <c r="N27" s="20"/>
      <c r="O27" s="20"/>
    </row>
    <row r="28" spans="1:15" hidden="1" x14ac:dyDescent="0.35">
      <c r="A28" s="8">
        <v>20</v>
      </c>
      <c r="B28" s="7" t="s">
        <v>9</v>
      </c>
      <c r="C28" s="8" t="s">
        <v>8</v>
      </c>
      <c r="D28" s="21">
        <v>830</v>
      </c>
      <c r="E28" s="21">
        <v>51810393267</v>
      </c>
      <c r="F28" s="21">
        <v>1144</v>
      </c>
      <c r="G28" s="21">
        <v>298494620650</v>
      </c>
      <c r="H28" s="5">
        <v>2070</v>
      </c>
      <c r="I28" s="5">
        <v>444946229430</v>
      </c>
      <c r="J28" s="5">
        <v>2134</v>
      </c>
      <c r="K28" s="5">
        <v>800000000</v>
      </c>
      <c r="L28" s="20"/>
      <c r="M28" s="20"/>
      <c r="N28" s="20"/>
      <c r="O28" s="20"/>
    </row>
    <row r="29" spans="1:15" ht="15" hidden="1" customHeight="1" x14ac:dyDescent="0.35">
      <c r="A29" s="8">
        <v>21</v>
      </c>
      <c r="B29" s="7" t="s">
        <v>7</v>
      </c>
      <c r="C29" s="8" t="s">
        <v>6</v>
      </c>
      <c r="D29" s="21">
        <v>0</v>
      </c>
      <c r="E29" s="22">
        <v>0</v>
      </c>
      <c r="F29" s="21">
        <v>0</v>
      </c>
      <c r="G29" s="22">
        <v>0</v>
      </c>
      <c r="H29" s="5">
        <v>0</v>
      </c>
      <c r="I29" s="9">
        <v>0</v>
      </c>
      <c r="J29" s="5">
        <v>0</v>
      </c>
      <c r="K29" s="9">
        <v>0</v>
      </c>
      <c r="L29" s="20"/>
      <c r="M29" s="20"/>
      <c r="N29" s="20"/>
      <c r="O29" s="20"/>
    </row>
    <row r="30" spans="1:15" hidden="1" x14ac:dyDescent="0.35">
      <c r="A30" s="8">
        <v>22</v>
      </c>
      <c r="B30" s="7" t="s">
        <v>5</v>
      </c>
      <c r="C30" s="8" t="s">
        <v>4</v>
      </c>
      <c r="D30" s="21">
        <v>129</v>
      </c>
      <c r="E30" s="21">
        <v>1357055054</v>
      </c>
      <c r="F30" s="21">
        <v>1507</v>
      </c>
      <c r="G30" s="21">
        <v>322468430105</v>
      </c>
      <c r="H30" s="5">
        <v>5907</v>
      </c>
      <c r="I30" s="5">
        <v>53529375529</v>
      </c>
      <c r="J30" s="5">
        <v>2358</v>
      </c>
      <c r="K30" s="5">
        <v>592382855228</v>
      </c>
      <c r="L30" s="20"/>
      <c r="M30" s="20"/>
      <c r="N30" s="20"/>
      <c r="O30" s="20"/>
    </row>
    <row r="31" spans="1:15" ht="26.25" hidden="1" customHeight="1" x14ac:dyDescent="0.35">
      <c r="A31" s="8">
        <v>23</v>
      </c>
      <c r="B31" s="7" t="s">
        <v>2</v>
      </c>
      <c r="C31" s="6" t="s">
        <v>1</v>
      </c>
      <c r="D31" s="21">
        <v>21</v>
      </c>
      <c r="E31" s="21">
        <v>586289558</v>
      </c>
      <c r="F31" s="21">
        <v>2</v>
      </c>
      <c r="G31" s="21">
        <v>300700000</v>
      </c>
      <c r="H31" s="5">
        <v>56</v>
      </c>
      <c r="I31" s="5">
        <v>4933027875</v>
      </c>
      <c r="J31" s="5">
        <v>506</v>
      </c>
      <c r="K31" s="5">
        <v>429550000</v>
      </c>
      <c r="L31" s="20"/>
      <c r="M31" s="20"/>
      <c r="N31" s="20"/>
      <c r="O31" s="20"/>
    </row>
    <row r="32" spans="1:15" x14ac:dyDescent="0.35">
      <c r="A32" s="37" t="s">
        <v>0</v>
      </c>
      <c r="B32" s="38"/>
      <c r="C32" s="39"/>
      <c r="D32" s="2">
        <v>196900</v>
      </c>
      <c r="E32" s="2">
        <v>6343901798574</v>
      </c>
      <c r="F32" s="2">
        <v>151856</v>
      </c>
      <c r="G32" s="2">
        <v>23201858600485</v>
      </c>
      <c r="H32" s="2"/>
      <c r="I32" s="2"/>
      <c r="J32" s="2"/>
      <c r="K32" s="2"/>
      <c r="L32" s="19">
        <v>0.18460316696346923</v>
      </c>
      <c r="M32" s="19">
        <v>0.26720382646710672</v>
      </c>
      <c r="N32" s="19">
        <v>-8.9478393599663145E-4</v>
      </c>
      <c r="O32" s="19">
        <v>0.16544331561884709</v>
      </c>
    </row>
    <row r="33" spans="9:10" ht="18" customHeight="1" x14ac:dyDescent="0.35"/>
    <row r="34" spans="9:10" ht="13.5" customHeight="1" x14ac:dyDescent="0.35">
      <c r="I34" s="4"/>
      <c r="J34" s="3"/>
    </row>
    <row r="35" spans="9:10" ht="13.5" customHeight="1" x14ac:dyDescent="0.35"/>
    <row r="36" spans="9:10" ht="13.5" customHeight="1" x14ac:dyDescent="0.35"/>
    <row r="37" spans="9:10" ht="16.5" customHeight="1" x14ac:dyDescent="0.35"/>
    <row r="52" spans="11:11" x14ac:dyDescent="0.35">
      <c r="K52" s="1" t="s">
        <v>3</v>
      </c>
    </row>
  </sheetData>
  <mergeCells count="12">
    <mergeCell ref="L6:O6"/>
    <mergeCell ref="L7:M7"/>
    <mergeCell ref="N7:O7"/>
    <mergeCell ref="A32:C32"/>
    <mergeCell ref="D3:E3"/>
    <mergeCell ref="H3:I3"/>
    <mergeCell ref="D6:G6"/>
    <mergeCell ref="H6:K6"/>
    <mergeCell ref="D7:E7"/>
    <mergeCell ref="F7:G7"/>
    <mergeCell ref="H7:I7"/>
    <mergeCell ref="J7:K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CB5F-0B8F-4EB2-82F8-82EE0BEC0F20}">
  <dimension ref="A1:T27"/>
  <sheetViews>
    <sheetView zoomScale="80" zoomScaleNormal="80" workbookViewId="0">
      <selection activeCell="G1" sqref="G1"/>
    </sheetView>
  </sheetViews>
  <sheetFormatPr baseColWidth="10" defaultColWidth="6.81640625" defaultRowHeight="15.5" x14ac:dyDescent="0.35"/>
  <cols>
    <col min="1" max="1" width="3.7265625" style="1" bestFit="1" customWidth="1"/>
    <col min="2" max="2" width="6.54296875" style="1" bestFit="1" customWidth="1"/>
    <col min="3" max="3" width="56.453125" style="1" bestFit="1" customWidth="1"/>
    <col min="4" max="4" width="26.08984375" style="1" customWidth="1"/>
    <col min="5" max="5" width="24.54296875" style="1" bestFit="1" customWidth="1"/>
    <col min="6" max="6" width="30.54296875" style="1" customWidth="1"/>
    <col min="7" max="7" width="31" style="1" customWidth="1"/>
    <col min="8" max="8" width="12" style="1" customWidth="1"/>
    <col min="9" max="9" width="11.81640625" style="1" customWidth="1"/>
    <col min="10" max="16384" width="6.81640625" style="1"/>
  </cols>
  <sheetData>
    <row r="1" spans="1:20" s="30" customFormat="1" ht="37" customHeight="1" x14ac:dyDescent="0.35">
      <c r="A1" s="36" t="s">
        <v>52</v>
      </c>
      <c r="B1" s="36" t="s">
        <v>51</v>
      </c>
      <c r="C1" s="36" t="s">
        <v>50</v>
      </c>
      <c r="D1" s="36" t="s">
        <v>88</v>
      </c>
      <c r="E1" s="36" t="s">
        <v>89</v>
      </c>
      <c r="F1" s="36" t="s">
        <v>90</v>
      </c>
      <c r="G1" s="36" t="s">
        <v>91</v>
      </c>
      <c r="H1" s="36" t="s">
        <v>49</v>
      </c>
      <c r="I1" s="36" t="s">
        <v>48</v>
      </c>
    </row>
    <row r="2" spans="1:20" ht="15" customHeight="1" x14ac:dyDescent="0.35">
      <c r="A2" s="8">
        <v>1</v>
      </c>
      <c r="B2" s="8" t="s">
        <v>47</v>
      </c>
      <c r="C2" s="8" t="s">
        <v>46</v>
      </c>
      <c r="D2" s="5">
        <v>5883</v>
      </c>
      <c r="E2" s="9">
        <v>144658130402</v>
      </c>
      <c r="F2" s="5">
        <v>9469</v>
      </c>
      <c r="G2" s="9">
        <v>246981351539</v>
      </c>
      <c r="H2" s="25">
        <f>(F2-D2)/D2</f>
        <v>0.60955294917559066</v>
      </c>
      <c r="I2" s="25">
        <f t="shared" ref="I2:I11" si="0">(G2-E2)/E2</f>
        <v>0.70734510982996435</v>
      </c>
    </row>
    <row r="3" spans="1:20" ht="15" customHeight="1" x14ac:dyDescent="0.35">
      <c r="A3" s="8">
        <v>2</v>
      </c>
      <c r="B3" s="7" t="s">
        <v>45</v>
      </c>
      <c r="C3" s="8" t="s">
        <v>44</v>
      </c>
      <c r="D3" s="5">
        <v>1435</v>
      </c>
      <c r="E3" s="9">
        <v>48850784933</v>
      </c>
      <c r="F3" s="5">
        <v>3238</v>
      </c>
      <c r="G3" s="9">
        <v>213418567441</v>
      </c>
      <c r="H3" s="25">
        <f t="shared" ref="H3:H11" si="1">(F3-D3)/D3</f>
        <v>1.256445993031359</v>
      </c>
      <c r="I3" s="25">
        <f t="shared" si="0"/>
        <v>3.3687848155092817</v>
      </c>
    </row>
    <row r="4" spans="1:20" x14ac:dyDescent="0.35">
      <c r="A4" s="8">
        <v>3</v>
      </c>
      <c r="B4" s="7" t="s">
        <v>43</v>
      </c>
      <c r="C4" s="6" t="s">
        <v>42</v>
      </c>
      <c r="D4" s="5">
        <v>17328</v>
      </c>
      <c r="E4" s="9">
        <v>241529765480</v>
      </c>
      <c r="F4" s="5">
        <v>31001</v>
      </c>
      <c r="G4" s="9">
        <v>341393781403</v>
      </c>
      <c r="H4" s="25">
        <f t="shared" si="1"/>
        <v>0.78906971375807944</v>
      </c>
      <c r="I4" s="25">
        <f t="shared" si="0"/>
        <v>0.41346463333219813</v>
      </c>
    </row>
    <row r="5" spans="1:20" ht="15" customHeight="1" x14ac:dyDescent="0.35">
      <c r="A5" s="8">
        <v>4</v>
      </c>
      <c r="B5" s="7" t="s">
        <v>41</v>
      </c>
      <c r="C5" s="8" t="s">
        <v>40</v>
      </c>
      <c r="D5" s="5">
        <v>1191</v>
      </c>
      <c r="E5" s="9">
        <v>10493049722</v>
      </c>
      <c r="F5" s="5">
        <v>2649</v>
      </c>
      <c r="G5" s="9">
        <v>61740169166</v>
      </c>
      <c r="H5" s="25">
        <f t="shared" si="1"/>
        <v>1.2241813602015112</v>
      </c>
      <c r="I5" s="25">
        <f t="shared" si="0"/>
        <v>4.8839108554450057</v>
      </c>
    </row>
    <row r="6" spans="1:20" ht="15" customHeight="1" x14ac:dyDescent="0.35">
      <c r="A6" s="8">
        <v>5</v>
      </c>
      <c r="B6" s="7" t="s">
        <v>39</v>
      </c>
      <c r="C6" s="8" t="s">
        <v>38</v>
      </c>
      <c r="D6" s="5">
        <v>2461</v>
      </c>
      <c r="E6" s="9">
        <v>83326909584</v>
      </c>
      <c r="F6" s="5">
        <v>4984</v>
      </c>
      <c r="G6" s="9">
        <v>151748276957</v>
      </c>
      <c r="H6" s="25">
        <f t="shared" si="1"/>
        <v>1.02519301097115</v>
      </c>
      <c r="I6" s="25">
        <f t="shared" si="0"/>
        <v>0.82111970448185101</v>
      </c>
    </row>
    <row r="7" spans="1:20" ht="15" customHeight="1" x14ac:dyDescent="0.35">
      <c r="A7" s="8">
        <v>6</v>
      </c>
      <c r="B7" s="7" t="s">
        <v>37</v>
      </c>
      <c r="C7" s="8" t="s">
        <v>36</v>
      </c>
      <c r="D7" s="5">
        <v>4047</v>
      </c>
      <c r="E7" s="9">
        <v>168041422166</v>
      </c>
      <c r="F7" s="5">
        <v>5900</v>
      </c>
      <c r="G7" s="9">
        <v>306084579351</v>
      </c>
      <c r="H7" s="25">
        <f t="shared" si="1"/>
        <v>0.45787002718062764</v>
      </c>
      <c r="I7" s="25">
        <f t="shared" si="0"/>
        <v>0.82148291418668096</v>
      </c>
    </row>
    <row r="8" spans="1:20" ht="15" customHeight="1" x14ac:dyDescent="0.35">
      <c r="A8" s="8">
        <v>7</v>
      </c>
      <c r="B8" s="7" t="s">
        <v>35</v>
      </c>
      <c r="C8" s="8" t="s">
        <v>34</v>
      </c>
      <c r="D8" s="5">
        <v>3690</v>
      </c>
      <c r="E8" s="9">
        <v>190525253038</v>
      </c>
      <c r="F8" s="5">
        <v>3578</v>
      </c>
      <c r="G8" s="9">
        <v>75922709396</v>
      </c>
      <c r="H8" s="25">
        <f t="shared" si="1"/>
        <v>-3.035230352303523E-2</v>
      </c>
      <c r="I8" s="25">
        <f t="shared" si="0"/>
        <v>-0.60150841851469783</v>
      </c>
    </row>
    <row r="9" spans="1:20" ht="15" customHeight="1" x14ac:dyDescent="0.35">
      <c r="A9" s="8">
        <v>8</v>
      </c>
      <c r="B9" s="7" t="s">
        <v>33</v>
      </c>
      <c r="C9" s="8" t="s">
        <v>32</v>
      </c>
      <c r="D9" s="5">
        <v>10449</v>
      </c>
      <c r="E9" s="9">
        <v>200723765576</v>
      </c>
      <c r="F9" s="5">
        <v>18628</v>
      </c>
      <c r="G9" s="9">
        <v>364392949918</v>
      </c>
      <c r="H9" s="25">
        <f t="shared" si="1"/>
        <v>0.78275433055794807</v>
      </c>
      <c r="I9" s="25">
        <f t="shared" si="0"/>
        <v>0.81539514701875182</v>
      </c>
    </row>
    <row r="10" spans="1:20" ht="15" customHeight="1" x14ac:dyDescent="0.35">
      <c r="A10" s="8">
        <v>9</v>
      </c>
      <c r="B10" s="7" t="s">
        <v>31</v>
      </c>
      <c r="C10" s="8" t="s">
        <v>30</v>
      </c>
      <c r="D10" s="5">
        <v>1532</v>
      </c>
      <c r="E10" s="9">
        <v>67509479599</v>
      </c>
      <c r="F10" s="5">
        <v>2380</v>
      </c>
      <c r="G10" s="9">
        <v>135491540552</v>
      </c>
      <c r="H10" s="25">
        <f t="shared" si="1"/>
        <v>0.55352480417754568</v>
      </c>
      <c r="I10" s="25">
        <f t="shared" si="0"/>
        <v>1.0070002221437211</v>
      </c>
    </row>
    <row r="11" spans="1:20" ht="15" customHeight="1" x14ac:dyDescent="0.35">
      <c r="A11" s="8">
        <v>10</v>
      </c>
      <c r="B11" s="7" t="s">
        <v>29</v>
      </c>
      <c r="C11" s="8" t="s">
        <v>28</v>
      </c>
      <c r="D11" s="5">
        <v>31593</v>
      </c>
      <c r="E11" s="9">
        <v>865731064775</v>
      </c>
      <c r="F11" s="5">
        <v>46401</v>
      </c>
      <c r="G11" s="9">
        <v>1870259578668</v>
      </c>
      <c r="H11" s="25">
        <f t="shared" si="1"/>
        <v>0.46871142341657962</v>
      </c>
      <c r="I11" s="25">
        <f t="shared" si="0"/>
        <v>1.1603239790801234</v>
      </c>
    </row>
    <row r="12" spans="1:20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20" ht="15" customHeight="1" x14ac:dyDescent="0.35">
      <c r="A13" s="8">
        <v>12</v>
      </c>
      <c r="B13" s="7" t="s">
        <v>25</v>
      </c>
      <c r="C13" s="8" t="s">
        <v>24</v>
      </c>
      <c r="D13" s="5">
        <v>2210</v>
      </c>
      <c r="E13" s="9">
        <v>88566749807</v>
      </c>
      <c r="F13" s="5">
        <v>9292</v>
      </c>
      <c r="G13" s="9">
        <v>1526655358180</v>
      </c>
      <c r="H13" s="25">
        <f t="shared" ref="H13:I19" si="2">(F13-D13)/D13</f>
        <v>3.2045248868778282</v>
      </c>
      <c r="I13" s="25">
        <f t="shared" si="2"/>
        <v>16.23734202177236</v>
      </c>
    </row>
    <row r="14" spans="1:20" ht="15" customHeight="1" x14ac:dyDescent="0.35">
      <c r="A14" s="8">
        <v>13</v>
      </c>
      <c r="B14" s="7" t="s">
        <v>23</v>
      </c>
      <c r="C14" s="8" t="s">
        <v>22</v>
      </c>
      <c r="D14" s="5">
        <v>1420</v>
      </c>
      <c r="E14" s="9">
        <v>40823415684</v>
      </c>
      <c r="F14" s="5">
        <v>1566</v>
      </c>
      <c r="G14" s="9">
        <v>70814774342</v>
      </c>
      <c r="H14" s="25">
        <f t="shared" si="2"/>
        <v>0.10281690140845071</v>
      </c>
      <c r="I14" s="25">
        <f t="shared" si="2"/>
        <v>0.73466068812450136</v>
      </c>
    </row>
    <row r="15" spans="1:20" ht="15" customHeight="1" x14ac:dyDescent="0.35">
      <c r="A15" s="8">
        <v>14</v>
      </c>
      <c r="B15" s="7" t="s">
        <v>21</v>
      </c>
      <c r="C15" s="8" t="s">
        <v>20</v>
      </c>
      <c r="D15" s="5">
        <v>628</v>
      </c>
      <c r="E15" s="9">
        <v>5666140209</v>
      </c>
      <c r="F15" s="5">
        <v>725</v>
      </c>
      <c r="G15" s="9">
        <v>5487179988</v>
      </c>
      <c r="H15" s="25">
        <f t="shared" si="2"/>
        <v>0.15445859872611464</v>
      </c>
      <c r="I15" s="25">
        <f t="shared" si="2"/>
        <v>-3.1584149773728268E-2</v>
      </c>
      <c r="T15" s="1" t="s">
        <v>60</v>
      </c>
    </row>
    <row r="16" spans="1:20" ht="15" customHeight="1" x14ac:dyDescent="0.35">
      <c r="A16" s="8">
        <v>15</v>
      </c>
      <c r="B16" s="7" t="s">
        <v>19</v>
      </c>
      <c r="C16" s="8" t="s">
        <v>18</v>
      </c>
      <c r="D16" s="5">
        <v>34784</v>
      </c>
      <c r="E16" s="9">
        <v>898766470159</v>
      </c>
      <c r="F16" s="5">
        <v>29938</v>
      </c>
      <c r="G16" s="9">
        <v>949444146820</v>
      </c>
      <c r="H16" s="25">
        <f t="shared" si="2"/>
        <v>-0.1393169273229071</v>
      </c>
      <c r="I16" s="25">
        <f t="shared" si="2"/>
        <v>5.6385811379940171E-2</v>
      </c>
    </row>
    <row r="17" spans="1:20" ht="15" customHeight="1" x14ac:dyDescent="0.35">
      <c r="A17" s="8">
        <v>16</v>
      </c>
      <c r="B17" s="7" t="s">
        <v>17</v>
      </c>
      <c r="C17" s="8" t="s">
        <v>16</v>
      </c>
      <c r="D17" s="5">
        <v>746</v>
      </c>
      <c r="E17" s="9">
        <v>52131597253</v>
      </c>
      <c r="F17" s="5">
        <v>1430</v>
      </c>
      <c r="G17" s="9">
        <v>192409455197</v>
      </c>
      <c r="H17" s="25">
        <f t="shared" si="2"/>
        <v>0.91689008042895437</v>
      </c>
      <c r="I17" s="25">
        <f t="shared" si="2"/>
        <v>2.6908413579429982</v>
      </c>
    </row>
    <row r="18" spans="1:20" ht="15" customHeight="1" x14ac:dyDescent="0.35">
      <c r="A18" s="8">
        <v>17</v>
      </c>
      <c r="B18" s="7" t="s">
        <v>15</v>
      </c>
      <c r="C18" s="8" t="s">
        <v>14</v>
      </c>
      <c r="D18" s="5">
        <v>1492</v>
      </c>
      <c r="E18" s="9">
        <v>124695938498</v>
      </c>
      <c r="F18" s="5">
        <v>2928</v>
      </c>
      <c r="G18" s="9">
        <v>210064542814</v>
      </c>
      <c r="H18" s="25">
        <f t="shared" si="2"/>
        <v>0.96246648793565681</v>
      </c>
      <c r="I18" s="25">
        <f t="shared" si="2"/>
        <v>0.68461415298918682</v>
      </c>
    </row>
    <row r="19" spans="1:20" ht="15" customHeight="1" x14ac:dyDescent="0.35">
      <c r="A19" s="8">
        <v>18</v>
      </c>
      <c r="B19" s="7" t="s">
        <v>13</v>
      </c>
      <c r="C19" s="8" t="s">
        <v>12</v>
      </c>
      <c r="D19" s="5">
        <v>151</v>
      </c>
      <c r="E19" s="9">
        <v>4238204400</v>
      </c>
      <c r="F19" s="5">
        <v>136</v>
      </c>
      <c r="G19" s="9">
        <v>6631560865</v>
      </c>
      <c r="H19" s="25">
        <f>(F19-D19)/D19</f>
        <v>-9.9337748344370855E-2</v>
      </c>
      <c r="I19" s="25">
        <f t="shared" si="2"/>
        <v>0.56471001375016272</v>
      </c>
    </row>
    <row r="20" spans="1:20" ht="15" customHeight="1" x14ac:dyDescent="0.35">
      <c r="A20" s="8">
        <v>19</v>
      </c>
      <c r="B20" s="7" t="s">
        <v>11</v>
      </c>
      <c r="C20" s="8" t="s">
        <v>10</v>
      </c>
      <c r="D20" s="5">
        <v>31</v>
      </c>
      <c r="E20" s="9">
        <v>2480896658</v>
      </c>
      <c r="F20" s="5">
        <v>24</v>
      </c>
      <c r="G20" s="9">
        <v>3002884043</v>
      </c>
      <c r="H20" s="25">
        <v>0</v>
      </c>
      <c r="I20" s="25">
        <v>0</v>
      </c>
      <c r="R20" s="1" t="s">
        <v>3</v>
      </c>
      <c r="T20" s="1" t="s">
        <v>3</v>
      </c>
    </row>
    <row r="21" spans="1:20" x14ac:dyDescent="0.35">
      <c r="A21" s="8">
        <v>20</v>
      </c>
      <c r="B21" s="7" t="s">
        <v>9</v>
      </c>
      <c r="C21" s="8" t="s">
        <v>8</v>
      </c>
      <c r="D21" s="5">
        <v>772</v>
      </c>
      <c r="E21" s="5">
        <v>56713459852</v>
      </c>
      <c r="F21" s="5">
        <v>996</v>
      </c>
      <c r="G21" s="5">
        <v>90508594593</v>
      </c>
      <c r="H21" s="25">
        <f>(F21-D21)/D21</f>
        <v>0.29015544041450775</v>
      </c>
      <c r="I21" s="25">
        <f>(G21-E21)/E21</f>
        <v>0.59589266514848704</v>
      </c>
    </row>
    <row r="22" spans="1:20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>
        <v>16</v>
      </c>
      <c r="G22" s="9">
        <v>4777705474</v>
      </c>
      <c r="H22" s="25">
        <v>0</v>
      </c>
      <c r="I22" s="25">
        <v>0</v>
      </c>
    </row>
    <row r="23" spans="1:20" x14ac:dyDescent="0.35">
      <c r="A23" s="8">
        <v>22</v>
      </c>
      <c r="B23" s="7" t="s">
        <v>5</v>
      </c>
      <c r="C23" s="8" t="s">
        <v>4</v>
      </c>
      <c r="D23" s="5">
        <v>4594</v>
      </c>
      <c r="E23" s="5">
        <v>32484195954</v>
      </c>
      <c r="F23" s="5">
        <v>2577</v>
      </c>
      <c r="G23" s="5">
        <v>43546550362</v>
      </c>
      <c r="H23" s="25">
        <f t="shared" ref="H23:I25" si="3">(F23-D23)/D23</f>
        <v>-0.43905093600348283</v>
      </c>
      <c r="I23" s="25">
        <f t="shared" si="3"/>
        <v>0.34054573564526897</v>
      </c>
    </row>
    <row r="24" spans="1:20" ht="26.25" customHeight="1" x14ac:dyDescent="0.35">
      <c r="A24" s="8">
        <v>23</v>
      </c>
      <c r="B24" s="7" t="s">
        <v>2</v>
      </c>
      <c r="C24" s="6" t="s">
        <v>1</v>
      </c>
      <c r="D24" s="5">
        <v>20</v>
      </c>
      <c r="E24" s="5">
        <v>688926453</v>
      </c>
      <c r="F24" s="5">
        <v>26</v>
      </c>
      <c r="G24" s="5">
        <v>385421539</v>
      </c>
      <c r="H24" s="25">
        <f t="shared" si="3"/>
        <v>0.3</v>
      </c>
      <c r="I24" s="25">
        <f t="shared" si="3"/>
        <v>-0.44054762693224669</v>
      </c>
    </row>
    <row r="25" spans="1:20" x14ac:dyDescent="0.35">
      <c r="A25" s="37" t="s">
        <v>0</v>
      </c>
      <c r="B25" s="38"/>
      <c r="C25" s="39"/>
      <c r="D25" s="2">
        <f>SUM(D2:D24)</f>
        <v>126457</v>
      </c>
      <c r="E25" s="2">
        <f>SUM(E2:E24)</f>
        <v>3328645620202</v>
      </c>
      <c r="F25" s="2">
        <f>SUM(F2:F24)</f>
        <v>177882</v>
      </c>
      <c r="G25" s="2">
        <f>SUM(G2:G24)</f>
        <v>6871161678608</v>
      </c>
      <c r="H25" s="24">
        <f t="shared" si="3"/>
        <v>0.40665997137366849</v>
      </c>
      <c r="I25" s="24">
        <f t="shared" si="3"/>
        <v>1.0642514892261259</v>
      </c>
    </row>
    <row r="26" spans="1:20" ht="18" customHeight="1" x14ac:dyDescent="0.35"/>
    <row r="27" spans="1:20" ht="13.5" customHeight="1" x14ac:dyDescent="0.35">
      <c r="E27" s="4"/>
      <c r="G27" s="4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0C67-8E92-467F-B2C9-5D2723431A0C}">
  <dimension ref="A1:R27"/>
  <sheetViews>
    <sheetView tabSelected="1" workbookViewId="0">
      <selection activeCell="G1" sqref="G1"/>
    </sheetView>
  </sheetViews>
  <sheetFormatPr baseColWidth="10" defaultColWidth="6.81640625" defaultRowHeight="15.5" x14ac:dyDescent="0.35"/>
  <cols>
    <col min="1" max="1" width="3.6328125" style="1" bestFit="1" customWidth="1"/>
    <col min="2" max="2" width="6" style="1" bestFit="1" customWidth="1"/>
    <col min="3" max="3" width="56.81640625" style="1" bestFit="1" customWidth="1"/>
    <col min="4" max="4" width="24.81640625" style="1" customWidth="1"/>
    <col min="5" max="5" width="25.26953125" style="1" bestFit="1" customWidth="1"/>
    <col min="6" max="6" width="26.90625" style="1" customWidth="1"/>
    <col min="7" max="7" width="25.26953125" style="1" bestFit="1" customWidth="1"/>
    <col min="8" max="8" width="9.54296875" style="1" bestFit="1" customWidth="1"/>
    <col min="9" max="9" width="10.26953125" style="26" bestFit="1" customWidth="1"/>
    <col min="10" max="10" width="6.81640625" style="1"/>
    <col min="11" max="11" width="9.54296875" style="1" bestFit="1" customWidth="1"/>
    <col min="12" max="12" width="12" style="1" bestFit="1" customWidth="1"/>
    <col min="13" max="16384" width="6.81640625" style="1"/>
  </cols>
  <sheetData>
    <row r="1" spans="1:9" s="31" customFormat="1" ht="39" customHeight="1" x14ac:dyDescent="0.35">
      <c r="A1" s="35" t="s">
        <v>52</v>
      </c>
      <c r="B1" s="35" t="s">
        <v>51</v>
      </c>
      <c r="C1" s="35" t="s">
        <v>50</v>
      </c>
      <c r="D1" s="35" t="s">
        <v>88</v>
      </c>
      <c r="E1" s="35" t="s">
        <v>89</v>
      </c>
      <c r="F1" s="35" t="s">
        <v>90</v>
      </c>
      <c r="G1" s="35" t="s">
        <v>91</v>
      </c>
      <c r="H1" s="35" t="s">
        <v>49</v>
      </c>
      <c r="I1" s="47" t="s">
        <v>48</v>
      </c>
    </row>
    <row r="2" spans="1:9" ht="15" customHeight="1" x14ac:dyDescent="0.35">
      <c r="A2" s="8">
        <v>1</v>
      </c>
      <c r="B2" s="8" t="s">
        <v>47</v>
      </c>
      <c r="C2" s="8" t="s">
        <v>46</v>
      </c>
      <c r="D2" s="5">
        <v>2090</v>
      </c>
      <c r="E2" s="9">
        <v>244996017950</v>
      </c>
      <c r="F2" s="5">
        <v>2157</v>
      </c>
      <c r="G2" s="9">
        <v>162928492808</v>
      </c>
      <c r="H2" s="25">
        <f t="shared" ref="H2:H11" si="0">(F2-D2)/D2</f>
        <v>3.2057416267942583E-2</v>
      </c>
      <c r="I2" s="25">
        <f t="shared" ref="I2:I11" si="1">(G2-E2)/E2</f>
        <v>-0.33497493481199658</v>
      </c>
    </row>
    <row r="3" spans="1:9" ht="15" customHeight="1" x14ac:dyDescent="0.35">
      <c r="A3" s="8">
        <v>2</v>
      </c>
      <c r="B3" s="7" t="s">
        <v>45</v>
      </c>
      <c r="C3" s="8" t="s">
        <v>44</v>
      </c>
      <c r="D3" s="5">
        <v>3704</v>
      </c>
      <c r="E3" s="9">
        <v>588261444492</v>
      </c>
      <c r="F3" s="5">
        <v>7845</v>
      </c>
      <c r="G3" s="9">
        <v>1871574869281</v>
      </c>
      <c r="H3" s="25">
        <f t="shared" si="0"/>
        <v>1.1179805615550755</v>
      </c>
      <c r="I3" s="25">
        <f t="shared" si="1"/>
        <v>2.1815358405771779</v>
      </c>
    </row>
    <row r="4" spans="1:9" x14ac:dyDescent="0.35">
      <c r="A4" s="8">
        <v>3</v>
      </c>
      <c r="B4" s="7" t="s">
        <v>43</v>
      </c>
      <c r="C4" s="6" t="s">
        <v>42</v>
      </c>
      <c r="D4" s="5">
        <v>6840</v>
      </c>
      <c r="E4" s="9">
        <v>1241707996029</v>
      </c>
      <c r="F4" s="5">
        <v>11254</v>
      </c>
      <c r="G4" s="9">
        <v>1915110759009</v>
      </c>
      <c r="H4" s="25">
        <f t="shared" si="0"/>
        <v>0.64532163742690063</v>
      </c>
      <c r="I4" s="25">
        <f t="shared" si="1"/>
        <v>0.54231974436304808</v>
      </c>
    </row>
    <row r="5" spans="1:9" ht="15" customHeight="1" x14ac:dyDescent="0.35">
      <c r="A5" s="8">
        <v>4</v>
      </c>
      <c r="B5" s="7" t="s">
        <v>41</v>
      </c>
      <c r="C5" s="8" t="s">
        <v>40</v>
      </c>
      <c r="D5" s="5">
        <v>1808</v>
      </c>
      <c r="E5" s="9">
        <v>257533807758</v>
      </c>
      <c r="F5" s="5">
        <v>3780</v>
      </c>
      <c r="G5" s="9">
        <v>807491786446</v>
      </c>
      <c r="H5" s="25">
        <f t="shared" si="0"/>
        <v>1.0907079646017699</v>
      </c>
      <c r="I5" s="25">
        <f t="shared" si="1"/>
        <v>2.1354787686934906</v>
      </c>
    </row>
    <row r="6" spans="1:9" ht="15" customHeight="1" x14ac:dyDescent="0.35">
      <c r="A6" s="8">
        <v>5</v>
      </c>
      <c r="B6" s="7" t="s">
        <v>39</v>
      </c>
      <c r="C6" s="8" t="s">
        <v>38</v>
      </c>
      <c r="D6" s="5">
        <v>3450</v>
      </c>
      <c r="E6" s="9">
        <v>676518908250</v>
      </c>
      <c r="F6" s="5">
        <v>5874</v>
      </c>
      <c r="G6" s="9">
        <v>1148478219096</v>
      </c>
      <c r="H6" s="25">
        <f t="shared" si="0"/>
        <v>0.70260869565217388</v>
      </c>
      <c r="I6" s="25">
        <f t="shared" si="1"/>
        <v>0.69762914988858338</v>
      </c>
    </row>
    <row r="7" spans="1:9" ht="15" customHeight="1" x14ac:dyDescent="0.35">
      <c r="A7" s="8">
        <v>6</v>
      </c>
      <c r="B7" s="7" t="s">
        <v>37</v>
      </c>
      <c r="C7" s="8" t="s">
        <v>36</v>
      </c>
      <c r="D7" s="5">
        <v>7509</v>
      </c>
      <c r="E7" s="9">
        <v>1088989531809</v>
      </c>
      <c r="F7" s="5">
        <v>12630</v>
      </c>
      <c r="G7" s="9">
        <v>1865304345440</v>
      </c>
      <c r="H7" s="25">
        <f t="shared" si="0"/>
        <v>0.68198162205353574</v>
      </c>
      <c r="I7" s="25">
        <f t="shared" si="1"/>
        <v>0.71287628664474556</v>
      </c>
    </row>
    <row r="8" spans="1:9" ht="15" customHeight="1" x14ac:dyDescent="0.35">
      <c r="A8" s="8">
        <v>7</v>
      </c>
      <c r="B8" s="7" t="s">
        <v>35</v>
      </c>
      <c r="C8" s="8" t="s">
        <v>34</v>
      </c>
      <c r="D8" s="5">
        <v>4088</v>
      </c>
      <c r="E8" s="9">
        <v>467076925809</v>
      </c>
      <c r="F8" s="5">
        <v>8732</v>
      </c>
      <c r="G8" s="9">
        <v>933751264922</v>
      </c>
      <c r="H8" s="25">
        <f t="shared" si="0"/>
        <v>1.1360078277886496</v>
      </c>
      <c r="I8" s="25">
        <f t="shared" si="1"/>
        <v>0.99913807196683346</v>
      </c>
    </row>
    <row r="9" spans="1:9" ht="15" customHeight="1" x14ac:dyDescent="0.35">
      <c r="A9" s="8">
        <v>8</v>
      </c>
      <c r="B9" s="7" t="s">
        <v>33</v>
      </c>
      <c r="C9" s="8" t="s">
        <v>32</v>
      </c>
      <c r="D9" s="5">
        <v>5768</v>
      </c>
      <c r="E9" s="9">
        <v>630717503539</v>
      </c>
      <c r="F9" s="5">
        <v>10141</v>
      </c>
      <c r="G9" s="9">
        <v>1763680740537</v>
      </c>
      <c r="H9" s="25">
        <f t="shared" si="0"/>
        <v>0.75814840499306524</v>
      </c>
      <c r="I9" s="25">
        <f t="shared" si="1"/>
        <v>1.7963085385150468</v>
      </c>
    </row>
    <row r="10" spans="1:9" ht="15" customHeight="1" x14ac:dyDescent="0.35">
      <c r="A10" s="8">
        <v>9</v>
      </c>
      <c r="B10" s="7" t="s">
        <v>31</v>
      </c>
      <c r="C10" s="8" t="s">
        <v>30</v>
      </c>
      <c r="D10" s="5">
        <v>3596</v>
      </c>
      <c r="E10" s="9">
        <v>592323448550</v>
      </c>
      <c r="F10" s="5">
        <v>7432</v>
      </c>
      <c r="G10" s="9">
        <v>1299689500900</v>
      </c>
      <c r="H10" s="25">
        <f t="shared" si="0"/>
        <v>1.0667408231368187</v>
      </c>
      <c r="I10" s="25">
        <f t="shared" si="1"/>
        <v>1.1942226060467853</v>
      </c>
    </row>
    <row r="11" spans="1:9" ht="15" customHeight="1" x14ac:dyDescent="0.35">
      <c r="A11" s="8">
        <v>10</v>
      </c>
      <c r="B11" s="7" t="s">
        <v>29</v>
      </c>
      <c r="C11" s="8" t="s">
        <v>28</v>
      </c>
      <c r="D11" s="5">
        <v>12958</v>
      </c>
      <c r="E11" s="9">
        <v>2597274525374</v>
      </c>
      <c r="F11" s="5">
        <v>29393</v>
      </c>
      <c r="G11" s="9">
        <v>8008409670172</v>
      </c>
      <c r="H11" s="25">
        <f t="shared" si="0"/>
        <v>1.2683284457478006</v>
      </c>
      <c r="I11" s="25">
        <f t="shared" si="1"/>
        <v>2.0833897579690048</v>
      </c>
    </row>
    <row r="12" spans="1:9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5" customHeight="1" x14ac:dyDescent="0.35">
      <c r="A13" s="8">
        <v>12</v>
      </c>
      <c r="B13" s="7" t="s">
        <v>25</v>
      </c>
      <c r="C13" s="8" t="s">
        <v>24</v>
      </c>
      <c r="D13" s="5">
        <v>5204</v>
      </c>
      <c r="E13" s="9">
        <v>1071667453031</v>
      </c>
      <c r="F13" s="5">
        <v>9522</v>
      </c>
      <c r="G13" s="9">
        <v>2463607037014</v>
      </c>
      <c r="H13" s="25">
        <f t="shared" ref="H13:I19" si="2">(F13-D13)/D13</f>
        <v>0.82974634896233668</v>
      </c>
      <c r="I13" s="25">
        <f t="shared" si="2"/>
        <v>1.2988540242088844</v>
      </c>
    </row>
    <row r="14" spans="1:9" ht="15" customHeight="1" x14ac:dyDescent="0.35">
      <c r="A14" s="8">
        <v>13</v>
      </c>
      <c r="B14" s="7" t="s">
        <v>23</v>
      </c>
      <c r="C14" s="8" t="s">
        <v>22</v>
      </c>
      <c r="D14" s="5">
        <v>2705</v>
      </c>
      <c r="E14" s="9">
        <v>477284113488</v>
      </c>
      <c r="F14" s="5">
        <v>4307</v>
      </c>
      <c r="G14" s="9">
        <v>586260535255</v>
      </c>
      <c r="H14" s="25">
        <f t="shared" si="2"/>
        <v>0.59223659889094271</v>
      </c>
      <c r="I14" s="25">
        <f t="shared" si="2"/>
        <v>0.22832610323146638</v>
      </c>
    </row>
    <row r="15" spans="1:9" ht="15" customHeight="1" x14ac:dyDescent="0.35">
      <c r="A15" s="8">
        <v>14</v>
      </c>
      <c r="B15" s="7" t="s">
        <v>21</v>
      </c>
      <c r="C15" s="8" t="s">
        <v>20</v>
      </c>
      <c r="D15" s="5">
        <v>928</v>
      </c>
      <c r="E15" s="9">
        <v>494635818917</v>
      </c>
      <c r="F15" s="5">
        <v>3062</v>
      </c>
      <c r="G15" s="9">
        <v>598984435469</v>
      </c>
      <c r="H15" s="25">
        <f t="shared" si="2"/>
        <v>2.2995689655172415</v>
      </c>
      <c r="I15" s="25">
        <f t="shared" si="2"/>
        <v>0.21096049368294884</v>
      </c>
    </row>
    <row r="16" spans="1:9" ht="15" customHeight="1" x14ac:dyDescent="0.35">
      <c r="A16" s="8">
        <v>15</v>
      </c>
      <c r="B16" s="7" t="s">
        <v>19</v>
      </c>
      <c r="C16" s="8" t="s">
        <v>18</v>
      </c>
      <c r="D16" s="5">
        <v>10536</v>
      </c>
      <c r="E16" s="9">
        <v>2278411978438</v>
      </c>
      <c r="F16" s="5">
        <v>12471</v>
      </c>
      <c r="G16" s="9">
        <v>3423520686106</v>
      </c>
      <c r="H16" s="25">
        <f t="shared" si="2"/>
        <v>0.18365603644646925</v>
      </c>
      <c r="I16" s="25">
        <f t="shared" si="2"/>
        <v>0.50259071603593253</v>
      </c>
    </row>
    <row r="17" spans="1:18" ht="15" customHeight="1" x14ac:dyDescent="0.35">
      <c r="A17" s="8">
        <v>16</v>
      </c>
      <c r="B17" s="7" t="s">
        <v>17</v>
      </c>
      <c r="C17" s="8" t="s">
        <v>16</v>
      </c>
      <c r="D17" s="5">
        <v>3160</v>
      </c>
      <c r="E17" s="9">
        <v>1120408677260</v>
      </c>
      <c r="F17" s="5">
        <v>7052</v>
      </c>
      <c r="G17" s="9">
        <v>2251701135905</v>
      </c>
      <c r="H17" s="25">
        <f t="shared" si="2"/>
        <v>1.2316455696202531</v>
      </c>
      <c r="I17" s="25">
        <f t="shared" si="2"/>
        <v>1.0097141173626187</v>
      </c>
      <c r="Q17" s="1" t="s">
        <v>3</v>
      </c>
    </row>
    <row r="18" spans="1:18" ht="15" customHeight="1" x14ac:dyDescent="0.35">
      <c r="A18" s="8">
        <v>17</v>
      </c>
      <c r="B18" s="7" t="s">
        <v>15</v>
      </c>
      <c r="C18" s="8" t="s">
        <v>14</v>
      </c>
      <c r="D18" s="5">
        <v>6506</v>
      </c>
      <c r="E18" s="9">
        <v>1075932764842</v>
      </c>
      <c r="F18" s="5">
        <v>11460</v>
      </c>
      <c r="G18" s="9">
        <v>2301044809455</v>
      </c>
      <c r="H18" s="25">
        <f t="shared" si="2"/>
        <v>0.76145096833691972</v>
      </c>
      <c r="I18" s="25">
        <f t="shared" si="2"/>
        <v>1.1386511171010829</v>
      </c>
    </row>
    <row r="19" spans="1:18" ht="15" customHeight="1" x14ac:dyDescent="0.35">
      <c r="A19" s="8">
        <v>18</v>
      </c>
      <c r="B19" s="7" t="s">
        <v>13</v>
      </c>
      <c r="C19" s="8" t="s">
        <v>12</v>
      </c>
      <c r="D19" s="5">
        <v>1809</v>
      </c>
      <c r="E19" s="9">
        <v>315603425768</v>
      </c>
      <c r="F19" s="5">
        <v>4081</v>
      </c>
      <c r="G19" s="9">
        <v>1164511973726</v>
      </c>
      <c r="H19" s="25">
        <f t="shared" si="2"/>
        <v>1.255942509673853</v>
      </c>
      <c r="I19" s="25">
        <f t="shared" si="2"/>
        <v>2.6897950993156599</v>
      </c>
      <c r="R19" s="1" t="s">
        <v>3</v>
      </c>
    </row>
    <row r="20" spans="1:18" ht="15" customHeight="1" x14ac:dyDescent="0.35">
      <c r="A20" s="8">
        <v>19</v>
      </c>
      <c r="B20" s="7" t="s">
        <v>11</v>
      </c>
      <c r="C20" s="8" t="s">
        <v>10</v>
      </c>
      <c r="D20" s="5">
        <v>36</v>
      </c>
      <c r="E20" s="9">
        <v>29075976583</v>
      </c>
      <c r="F20" s="5">
        <v>62</v>
      </c>
      <c r="G20" s="9">
        <v>92662521803</v>
      </c>
      <c r="H20" s="25">
        <v>0</v>
      </c>
      <c r="I20" s="25">
        <v>0</v>
      </c>
    </row>
    <row r="21" spans="1:18" x14ac:dyDescent="0.35">
      <c r="A21" s="8">
        <v>20</v>
      </c>
      <c r="B21" s="7" t="s">
        <v>9</v>
      </c>
      <c r="C21" s="8" t="s">
        <v>8</v>
      </c>
      <c r="D21" s="5">
        <v>1522</v>
      </c>
      <c r="E21" s="5">
        <v>616533107764</v>
      </c>
      <c r="F21" s="5">
        <v>3944</v>
      </c>
      <c r="G21" s="5">
        <v>739583246541</v>
      </c>
      <c r="H21" s="25">
        <f>(F21-D21)/D21</f>
        <v>1.5913272010512483</v>
      </c>
      <c r="I21" s="25">
        <f>(G21-E21)/E21</f>
        <v>0.19958399188531789</v>
      </c>
    </row>
    <row r="22" spans="1:18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  <c r="R22" s="1" t="s">
        <v>3</v>
      </c>
    </row>
    <row r="23" spans="1:18" x14ac:dyDescent="0.35">
      <c r="A23" s="8">
        <v>22</v>
      </c>
      <c r="B23" s="7" t="s">
        <v>5</v>
      </c>
      <c r="C23" s="8" t="s">
        <v>4</v>
      </c>
      <c r="D23" s="5">
        <v>1666</v>
      </c>
      <c r="E23" s="5">
        <v>513186919792</v>
      </c>
      <c r="F23" s="5">
        <v>4482</v>
      </c>
      <c r="G23" s="5">
        <v>935589964300</v>
      </c>
      <c r="H23" s="25">
        <f t="shared" ref="H23:I25" si="3">(F23-D23)/D23</f>
        <v>1.6902761104441777</v>
      </c>
      <c r="I23" s="25">
        <f t="shared" si="3"/>
        <v>0.8230978386573149</v>
      </c>
    </row>
    <row r="24" spans="1:18" ht="26.25" customHeight="1" x14ac:dyDescent="0.35">
      <c r="A24" s="8">
        <v>23</v>
      </c>
      <c r="B24" s="7" t="s">
        <v>2</v>
      </c>
      <c r="C24" s="6" t="s">
        <v>1</v>
      </c>
      <c r="D24" s="5">
        <v>139</v>
      </c>
      <c r="E24" s="5">
        <v>35332255736</v>
      </c>
      <c r="F24" s="5">
        <v>248</v>
      </c>
      <c r="G24" s="5">
        <v>32426879333</v>
      </c>
      <c r="H24" s="25">
        <f t="shared" si="3"/>
        <v>0.78417266187050361</v>
      </c>
      <c r="I24" s="25">
        <f t="shared" si="3"/>
        <v>-8.2230141905140663E-2</v>
      </c>
    </row>
    <row r="25" spans="1:18" x14ac:dyDescent="0.35">
      <c r="A25" s="37" t="s">
        <v>0</v>
      </c>
      <c r="B25" s="38"/>
      <c r="C25" s="39"/>
      <c r="D25" s="2">
        <f>SUM(D2:D24)</f>
        <v>86022</v>
      </c>
      <c r="E25" s="2">
        <f>SUM(E2:E24)</f>
        <v>16413472601179</v>
      </c>
      <c r="F25" s="2">
        <f>SUM(F2:F24)</f>
        <v>159929</v>
      </c>
      <c r="G25" s="2">
        <f>SUM(G2:G24)</f>
        <v>34366312873518</v>
      </c>
      <c r="H25" s="24">
        <f t="shared" si="3"/>
        <v>0.85916393480737485</v>
      </c>
      <c r="I25" s="24">
        <f t="shared" si="3"/>
        <v>1.093786836494882</v>
      </c>
    </row>
    <row r="26" spans="1:18" ht="18" customHeight="1" x14ac:dyDescent="0.35"/>
    <row r="27" spans="1:18" ht="13.5" customHeight="1" x14ac:dyDescent="0.35">
      <c r="D27" s="3"/>
      <c r="F27" s="3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1469-8808-4880-902D-88D86ED175E5}">
  <dimension ref="A1:I25"/>
  <sheetViews>
    <sheetView zoomScale="90" zoomScaleNormal="90" workbookViewId="0">
      <selection activeCell="G1" sqref="G1"/>
    </sheetView>
  </sheetViews>
  <sheetFormatPr baseColWidth="10" defaultRowHeight="12.5" x14ac:dyDescent="0.35"/>
  <cols>
    <col min="1" max="1" width="3.6328125" style="27" bestFit="1" customWidth="1"/>
    <col min="2" max="2" width="6" style="27" bestFit="1" customWidth="1"/>
    <col min="3" max="3" width="56.81640625" style="27" bestFit="1" customWidth="1"/>
    <col min="4" max="4" width="23.453125" style="27" customWidth="1"/>
    <col min="5" max="5" width="24.26953125" style="27" customWidth="1"/>
    <col min="6" max="6" width="25.26953125" style="27" customWidth="1"/>
    <col min="7" max="7" width="27.453125" style="27" customWidth="1"/>
    <col min="8" max="8" width="10.7265625" style="27" bestFit="1" customWidth="1"/>
    <col min="9" max="9" width="10.26953125" style="27" bestFit="1" customWidth="1"/>
    <col min="10" max="16384" width="10.90625" style="27"/>
  </cols>
  <sheetData>
    <row r="1" spans="1:9" ht="33.5" customHeight="1" x14ac:dyDescent="0.35">
      <c r="A1" s="48" t="s">
        <v>52</v>
      </c>
      <c r="B1" s="48" t="s">
        <v>51</v>
      </c>
      <c r="C1" s="48" t="s">
        <v>50</v>
      </c>
      <c r="D1" s="48" t="s">
        <v>88</v>
      </c>
      <c r="E1" s="48" t="s">
        <v>89</v>
      </c>
      <c r="F1" s="48" t="s">
        <v>90</v>
      </c>
      <c r="G1" s="48" t="s">
        <v>91</v>
      </c>
      <c r="H1" s="48" t="s">
        <v>49</v>
      </c>
      <c r="I1" s="49" t="s">
        <v>48</v>
      </c>
    </row>
    <row r="2" spans="1:9" ht="13.5" x14ac:dyDescent="0.35">
      <c r="A2" s="8">
        <v>1</v>
      </c>
      <c r="B2" s="8" t="s">
        <v>47</v>
      </c>
      <c r="C2" s="8" t="s">
        <v>46</v>
      </c>
      <c r="D2" s="5">
        <v>22</v>
      </c>
      <c r="E2" s="9">
        <v>4678149669</v>
      </c>
      <c r="F2" s="5">
        <v>30</v>
      </c>
      <c r="G2" s="9">
        <v>4866430853</v>
      </c>
      <c r="H2" s="25">
        <f t="shared" ref="H2:H11" si="0">(F2-D2)/D2</f>
        <v>0.36363636363636365</v>
      </c>
      <c r="I2" s="25">
        <f t="shared" ref="I2:I11" si="1">(G2-E2)/E2</f>
        <v>4.0246934647613988E-2</v>
      </c>
    </row>
    <row r="3" spans="1:9" ht="13.5" x14ac:dyDescent="0.35">
      <c r="A3" s="8">
        <v>2</v>
      </c>
      <c r="B3" s="7" t="s">
        <v>45</v>
      </c>
      <c r="C3" s="8" t="s">
        <v>44</v>
      </c>
      <c r="D3" s="5">
        <v>56</v>
      </c>
      <c r="E3" s="9">
        <v>8779924282</v>
      </c>
      <c r="F3" s="5">
        <v>167</v>
      </c>
      <c r="G3" s="9">
        <v>56310718462</v>
      </c>
      <c r="H3" s="25">
        <f t="shared" si="0"/>
        <v>1.9821428571428572</v>
      </c>
      <c r="I3" s="25">
        <f t="shared" si="1"/>
        <v>5.4135767750804389</v>
      </c>
    </row>
    <row r="4" spans="1:9" ht="13.5" x14ac:dyDescent="0.35">
      <c r="A4" s="8">
        <v>3</v>
      </c>
      <c r="B4" s="7" t="s">
        <v>43</v>
      </c>
      <c r="C4" s="6" t="s">
        <v>42</v>
      </c>
      <c r="D4" s="5">
        <v>210</v>
      </c>
      <c r="E4" s="9">
        <v>35504442051</v>
      </c>
      <c r="F4" s="5">
        <v>221</v>
      </c>
      <c r="G4" s="9">
        <v>61611788260</v>
      </c>
      <c r="H4" s="25">
        <f t="shared" si="0"/>
        <v>5.2380952380952382E-2</v>
      </c>
      <c r="I4" s="25">
        <f t="shared" si="1"/>
        <v>0.73532619302954727</v>
      </c>
    </row>
    <row r="5" spans="1:9" ht="13.5" x14ac:dyDescent="0.35">
      <c r="A5" s="8">
        <v>4</v>
      </c>
      <c r="B5" s="7" t="s">
        <v>41</v>
      </c>
      <c r="C5" s="8" t="s">
        <v>40</v>
      </c>
      <c r="D5" s="5">
        <v>56</v>
      </c>
      <c r="E5" s="9">
        <v>22569157005</v>
      </c>
      <c r="F5" s="5">
        <v>113</v>
      </c>
      <c r="G5" s="9">
        <v>42445789796</v>
      </c>
      <c r="H5" s="25">
        <f t="shared" si="0"/>
        <v>1.0178571428571428</v>
      </c>
      <c r="I5" s="25">
        <f t="shared" si="1"/>
        <v>0.88069894620328559</v>
      </c>
    </row>
    <row r="6" spans="1:9" ht="13.5" x14ac:dyDescent="0.35">
      <c r="A6" s="8">
        <v>5</v>
      </c>
      <c r="B6" s="7" t="s">
        <v>39</v>
      </c>
      <c r="C6" s="8" t="s">
        <v>38</v>
      </c>
      <c r="D6" s="5">
        <v>38</v>
      </c>
      <c r="E6" s="9">
        <v>9799758658</v>
      </c>
      <c r="F6" s="5">
        <v>99</v>
      </c>
      <c r="G6" s="9">
        <v>21576672176</v>
      </c>
      <c r="H6" s="25">
        <f t="shared" si="0"/>
        <v>1.6052631578947369</v>
      </c>
      <c r="I6" s="25">
        <f t="shared" si="1"/>
        <v>1.2017554644966646</v>
      </c>
    </row>
    <row r="7" spans="1:9" ht="13.5" x14ac:dyDescent="0.35">
      <c r="A7" s="8">
        <v>6</v>
      </c>
      <c r="B7" s="7" t="s">
        <v>37</v>
      </c>
      <c r="C7" s="8" t="s">
        <v>36</v>
      </c>
      <c r="D7" s="5">
        <v>215</v>
      </c>
      <c r="E7" s="9">
        <v>52769586088</v>
      </c>
      <c r="F7" s="5">
        <v>202</v>
      </c>
      <c r="G7" s="9">
        <v>45298662372</v>
      </c>
      <c r="H7" s="25">
        <f t="shared" si="0"/>
        <v>-6.0465116279069767E-2</v>
      </c>
      <c r="I7" s="25">
        <f t="shared" si="1"/>
        <v>-0.14157631828950268</v>
      </c>
    </row>
    <row r="8" spans="1:9" ht="13.5" x14ac:dyDescent="0.35">
      <c r="A8" s="8">
        <v>7</v>
      </c>
      <c r="B8" s="7" t="s">
        <v>35</v>
      </c>
      <c r="C8" s="8" t="s">
        <v>34</v>
      </c>
      <c r="D8" s="5">
        <v>98</v>
      </c>
      <c r="E8" s="9">
        <v>18662802344</v>
      </c>
      <c r="F8" s="5">
        <v>326</v>
      </c>
      <c r="G8" s="9">
        <v>33439119256</v>
      </c>
      <c r="H8" s="25">
        <f t="shared" si="0"/>
        <v>2.3265306122448979</v>
      </c>
      <c r="I8" s="25">
        <f t="shared" si="1"/>
        <v>0.79175231241467414</v>
      </c>
    </row>
    <row r="9" spans="1:9" ht="13.5" x14ac:dyDescent="0.35">
      <c r="A9" s="8">
        <v>8</v>
      </c>
      <c r="B9" s="7" t="s">
        <v>33</v>
      </c>
      <c r="C9" s="8" t="s">
        <v>32</v>
      </c>
      <c r="D9" s="5">
        <v>99</v>
      </c>
      <c r="E9" s="9">
        <v>29007212760</v>
      </c>
      <c r="F9" s="5">
        <v>159</v>
      </c>
      <c r="G9" s="9">
        <v>38182989862</v>
      </c>
      <c r="H9" s="25">
        <f t="shared" si="0"/>
        <v>0.60606060606060608</v>
      </c>
      <c r="I9" s="25">
        <f t="shared" si="1"/>
        <v>0.31632743131574148</v>
      </c>
    </row>
    <row r="10" spans="1:9" ht="13.5" x14ac:dyDescent="0.35">
      <c r="A10" s="8">
        <v>9</v>
      </c>
      <c r="B10" s="7" t="s">
        <v>31</v>
      </c>
      <c r="C10" s="8" t="s">
        <v>30</v>
      </c>
      <c r="D10" s="5">
        <v>10</v>
      </c>
      <c r="E10" s="9">
        <v>4674724471</v>
      </c>
      <c r="F10" s="5">
        <v>220</v>
      </c>
      <c r="G10" s="9">
        <v>30093567457</v>
      </c>
      <c r="H10" s="25">
        <f t="shared" si="0"/>
        <v>21</v>
      </c>
      <c r="I10" s="25">
        <f t="shared" si="1"/>
        <v>5.4375061340379904</v>
      </c>
    </row>
    <row r="11" spans="1:9" ht="13.5" x14ac:dyDescent="0.35">
      <c r="A11" s="8">
        <v>10</v>
      </c>
      <c r="B11" s="7" t="s">
        <v>29</v>
      </c>
      <c r="C11" s="8" t="s">
        <v>28</v>
      </c>
      <c r="D11" s="5">
        <v>194</v>
      </c>
      <c r="E11" s="9">
        <v>42127177033</v>
      </c>
      <c r="F11" s="5">
        <v>548</v>
      </c>
      <c r="G11" s="9">
        <v>252862339506</v>
      </c>
      <c r="H11" s="25">
        <f t="shared" si="0"/>
        <v>1.8247422680412371</v>
      </c>
      <c r="I11" s="25">
        <f t="shared" si="1"/>
        <v>5.0023566095568714</v>
      </c>
    </row>
    <row r="12" spans="1:9" ht="13.5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3.5" x14ac:dyDescent="0.35">
      <c r="A13" s="8">
        <v>12</v>
      </c>
      <c r="B13" s="7" t="s">
        <v>25</v>
      </c>
      <c r="C13" s="8" t="s">
        <v>24</v>
      </c>
      <c r="D13" s="5">
        <v>101</v>
      </c>
      <c r="E13" s="9">
        <v>43893021046</v>
      </c>
      <c r="F13" s="5">
        <v>211</v>
      </c>
      <c r="G13" s="9">
        <v>68161856840</v>
      </c>
      <c r="H13" s="25">
        <f t="shared" ref="H13:I19" si="2">(F13-D13)/D13</f>
        <v>1.0891089108910892</v>
      </c>
      <c r="I13" s="25">
        <f t="shared" si="2"/>
        <v>0.55290875897027447</v>
      </c>
    </row>
    <row r="14" spans="1:9" ht="13.5" x14ac:dyDescent="0.35">
      <c r="A14" s="8">
        <v>13</v>
      </c>
      <c r="B14" s="7" t="s">
        <v>23</v>
      </c>
      <c r="C14" s="8" t="s">
        <v>22</v>
      </c>
      <c r="D14" s="5">
        <v>66</v>
      </c>
      <c r="E14" s="9">
        <v>15454043177</v>
      </c>
      <c r="F14" s="5">
        <v>138</v>
      </c>
      <c r="G14" s="9">
        <v>39806392548</v>
      </c>
      <c r="H14" s="25">
        <f t="shared" si="2"/>
        <v>1.0909090909090908</v>
      </c>
      <c r="I14" s="25">
        <f t="shared" si="2"/>
        <v>1.5757914671316049</v>
      </c>
    </row>
    <row r="15" spans="1:9" ht="13.5" x14ac:dyDescent="0.35">
      <c r="A15" s="8">
        <v>14</v>
      </c>
      <c r="B15" s="7" t="s">
        <v>21</v>
      </c>
      <c r="C15" s="8" t="s">
        <v>20</v>
      </c>
      <c r="D15" s="5">
        <v>24</v>
      </c>
      <c r="E15" s="9">
        <v>6279942627</v>
      </c>
      <c r="F15" s="5">
        <v>58</v>
      </c>
      <c r="G15" s="9">
        <v>9426858260</v>
      </c>
      <c r="H15" s="25">
        <f t="shared" si="2"/>
        <v>1.4166666666666667</v>
      </c>
      <c r="I15" s="25">
        <f t="shared" si="2"/>
        <v>0.50110579346221151</v>
      </c>
    </row>
    <row r="16" spans="1:9" ht="13.5" x14ac:dyDescent="0.35">
      <c r="A16" s="8">
        <v>15</v>
      </c>
      <c r="B16" s="7" t="s">
        <v>19</v>
      </c>
      <c r="C16" s="8" t="s">
        <v>18</v>
      </c>
      <c r="D16" s="5">
        <v>166</v>
      </c>
      <c r="E16" s="9">
        <v>33438303015</v>
      </c>
      <c r="F16" s="5">
        <v>216</v>
      </c>
      <c r="G16" s="9">
        <v>60375539717</v>
      </c>
      <c r="H16" s="25">
        <f t="shared" si="2"/>
        <v>0.30120481927710846</v>
      </c>
      <c r="I16" s="25">
        <f t="shared" si="2"/>
        <v>0.80558025596921878</v>
      </c>
    </row>
    <row r="17" spans="1:9" ht="13.5" x14ac:dyDescent="0.35">
      <c r="A17" s="8">
        <v>16</v>
      </c>
      <c r="B17" s="7" t="s">
        <v>17</v>
      </c>
      <c r="C17" s="8" t="s">
        <v>16</v>
      </c>
      <c r="D17" s="5">
        <v>58</v>
      </c>
      <c r="E17" s="9">
        <v>24752024936</v>
      </c>
      <c r="F17" s="5">
        <v>179</v>
      </c>
      <c r="G17" s="9">
        <v>59474747802</v>
      </c>
      <c r="H17" s="25">
        <f t="shared" si="2"/>
        <v>2.0862068965517242</v>
      </c>
      <c r="I17" s="25">
        <f t="shared" si="2"/>
        <v>1.4028235247734562</v>
      </c>
    </row>
    <row r="18" spans="1:9" ht="13.5" x14ac:dyDescent="0.35">
      <c r="A18" s="8">
        <v>17</v>
      </c>
      <c r="B18" s="7" t="s">
        <v>15</v>
      </c>
      <c r="C18" s="8" t="s">
        <v>14</v>
      </c>
      <c r="D18" s="5">
        <v>142</v>
      </c>
      <c r="E18" s="9">
        <v>25596595812</v>
      </c>
      <c r="F18" s="5">
        <v>255</v>
      </c>
      <c r="G18" s="9">
        <v>62933872411</v>
      </c>
      <c r="H18" s="25">
        <f t="shared" si="2"/>
        <v>0.79577464788732399</v>
      </c>
      <c r="I18" s="25">
        <f t="shared" si="2"/>
        <v>1.4586813368946439</v>
      </c>
    </row>
    <row r="19" spans="1:9" ht="13.5" x14ac:dyDescent="0.35">
      <c r="A19" s="8">
        <v>18</v>
      </c>
      <c r="B19" s="7" t="s">
        <v>13</v>
      </c>
      <c r="C19" s="8" t="s">
        <v>12</v>
      </c>
      <c r="D19" s="5">
        <v>46</v>
      </c>
      <c r="E19" s="9">
        <v>10959856304</v>
      </c>
      <c r="F19" s="5">
        <v>68</v>
      </c>
      <c r="G19" s="9">
        <v>30142817350</v>
      </c>
      <c r="H19" s="25">
        <f t="shared" si="2"/>
        <v>0.47826086956521741</v>
      </c>
      <c r="I19" s="25">
        <f t="shared" si="2"/>
        <v>1.7502931164342754</v>
      </c>
    </row>
    <row r="20" spans="1:9" ht="13.5" x14ac:dyDescent="0.35">
      <c r="A20" s="8">
        <v>19</v>
      </c>
      <c r="B20" s="7" t="s">
        <v>11</v>
      </c>
      <c r="C20" s="8" t="s">
        <v>10</v>
      </c>
      <c r="D20" s="5">
        <v>6</v>
      </c>
      <c r="E20" s="9">
        <v>5524000000</v>
      </c>
      <c r="F20" s="5">
        <v>3</v>
      </c>
      <c r="G20" s="9">
        <v>50400000</v>
      </c>
      <c r="H20" s="25">
        <v>0</v>
      </c>
      <c r="I20" s="25">
        <v>0</v>
      </c>
    </row>
    <row r="21" spans="1:9" ht="13.5" x14ac:dyDescent="0.35">
      <c r="A21" s="8">
        <v>20</v>
      </c>
      <c r="B21" s="7" t="s">
        <v>9</v>
      </c>
      <c r="C21" s="8" t="s">
        <v>8</v>
      </c>
      <c r="D21" s="5">
        <v>20</v>
      </c>
      <c r="E21" s="5">
        <v>7839350000</v>
      </c>
      <c r="F21" s="5">
        <v>91</v>
      </c>
      <c r="G21" s="5">
        <v>40077378849</v>
      </c>
      <c r="H21" s="25">
        <f>(F21-D21)/D21</f>
        <v>3.55</v>
      </c>
      <c r="I21" s="25">
        <f>(G21-E21)/E21</f>
        <v>4.1123344217313935</v>
      </c>
    </row>
    <row r="22" spans="1:9" ht="13.5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</row>
    <row r="23" spans="1:9" ht="13.5" x14ac:dyDescent="0.35">
      <c r="A23" s="8">
        <v>22</v>
      </c>
      <c r="B23" s="7" t="s">
        <v>5</v>
      </c>
      <c r="C23" s="8" t="s">
        <v>4</v>
      </c>
      <c r="D23" s="5">
        <v>43</v>
      </c>
      <c r="E23" s="5">
        <v>17934755664</v>
      </c>
      <c r="F23" s="5">
        <v>94</v>
      </c>
      <c r="G23" s="5">
        <v>14977426692</v>
      </c>
      <c r="H23" s="25">
        <f t="shared" ref="H23:I25" si="3">(F23-D23)/D23</f>
        <v>1.1860465116279071</v>
      </c>
      <c r="I23" s="25">
        <f t="shared" si="3"/>
        <v>-0.16489374192792461</v>
      </c>
    </row>
    <row r="24" spans="1:9" ht="26.5" customHeight="1" x14ac:dyDescent="0.35">
      <c r="A24" s="8">
        <v>23</v>
      </c>
      <c r="B24" s="7" t="s">
        <v>2</v>
      </c>
      <c r="C24" s="6" t="s">
        <v>1</v>
      </c>
      <c r="D24" s="5"/>
      <c r="E24" s="5"/>
      <c r="F24" s="5">
        <v>5</v>
      </c>
      <c r="G24" s="5">
        <v>31533000000</v>
      </c>
      <c r="H24" s="25" t="e">
        <f t="shared" si="3"/>
        <v>#DIV/0!</v>
      </c>
      <c r="I24" s="25" t="e">
        <f t="shared" si="3"/>
        <v>#DIV/0!</v>
      </c>
    </row>
    <row r="25" spans="1:9" ht="13.5" x14ac:dyDescent="0.35">
      <c r="A25" s="37" t="s">
        <v>0</v>
      </c>
      <c r="B25" s="38"/>
      <c r="C25" s="39"/>
      <c r="D25" s="2">
        <f>SUM(D2:D24)</f>
        <v>1670</v>
      </c>
      <c r="E25" s="2">
        <f>SUM(E2:E24)</f>
        <v>420244826942</v>
      </c>
      <c r="F25" s="2">
        <f>SUM(F2:F24)</f>
        <v>3403</v>
      </c>
      <c r="G25" s="2">
        <f>SUM(G2:G24)</f>
        <v>1003648368469</v>
      </c>
      <c r="H25" s="24">
        <f t="shared" si="3"/>
        <v>1.0377245508982036</v>
      </c>
      <c r="I25" s="24">
        <f t="shared" si="3"/>
        <v>1.3882468126312435</v>
      </c>
    </row>
  </sheetData>
  <mergeCells count="1">
    <mergeCell ref="A25:C25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DE86-B503-4F48-94A8-53D7BAF16ED9}">
  <dimension ref="A1:I25"/>
  <sheetViews>
    <sheetView zoomScale="80" zoomScaleNormal="80" workbookViewId="0">
      <selection activeCell="J11" sqref="J11"/>
    </sheetView>
  </sheetViews>
  <sheetFormatPr baseColWidth="10" defaultRowHeight="12.5" x14ac:dyDescent="0.35"/>
  <cols>
    <col min="1" max="1" width="6.81640625" style="27" customWidth="1"/>
    <col min="2" max="2" width="6.08984375" style="27" customWidth="1"/>
    <col min="3" max="3" width="55.90625" style="27" customWidth="1"/>
    <col min="4" max="4" width="26.81640625" style="27" customWidth="1"/>
    <col min="5" max="5" width="28.1796875" style="27" customWidth="1"/>
    <col min="6" max="6" width="24.1796875" style="27" customWidth="1"/>
    <col min="7" max="7" width="24" style="27" customWidth="1"/>
    <col min="8" max="8" width="13.453125" style="27" customWidth="1"/>
    <col min="9" max="16384" width="10.90625" style="27"/>
  </cols>
  <sheetData>
    <row r="1" spans="1:9" s="32" customFormat="1" ht="29.5" customHeight="1" x14ac:dyDescent="0.35">
      <c r="A1" s="35" t="s">
        <v>52</v>
      </c>
      <c r="B1" s="35" t="s">
        <v>51</v>
      </c>
      <c r="C1" s="35" t="s">
        <v>50</v>
      </c>
      <c r="D1" s="33" t="s">
        <v>88</v>
      </c>
      <c r="E1" s="33" t="s">
        <v>89</v>
      </c>
      <c r="F1" s="33" t="s">
        <v>90</v>
      </c>
      <c r="G1" s="33" t="s">
        <v>91</v>
      </c>
      <c r="H1" s="33" t="s">
        <v>49</v>
      </c>
      <c r="I1" s="34" t="s">
        <v>48</v>
      </c>
    </row>
    <row r="2" spans="1:9" ht="13.5" x14ac:dyDescent="0.35">
      <c r="A2" s="8">
        <v>1</v>
      </c>
      <c r="B2" s="8" t="s">
        <v>47</v>
      </c>
      <c r="C2" s="8" t="s">
        <v>46</v>
      </c>
      <c r="D2" s="5"/>
      <c r="E2" s="9"/>
      <c r="F2" s="5"/>
      <c r="G2" s="9"/>
      <c r="H2" s="25" t="e">
        <f t="shared" ref="H2:H11" si="0">(F2-D2)/D2</f>
        <v>#DIV/0!</v>
      </c>
      <c r="I2" s="25" t="e">
        <f t="shared" ref="I2:I11" si="1">(G2-E2)/E2</f>
        <v>#DIV/0!</v>
      </c>
    </row>
    <row r="3" spans="1:9" ht="13.5" x14ac:dyDescent="0.35">
      <c r="A3" s="8">
        <v>2</v>
      </c>
      <c r="B3" s="7" t="s">
        <v>45</v>
      </c>
      <c r="C3" s="8" t="s">
        <v>44</v>
      </c>
      <c r="D3" s="5">
        <v>1</v>
      </c>
      <c r="E3" s="9">
        <v>19000000</v>
      </c>
      <c r="F3" s="5">
        <v>6</v>
      </c>
      <c r="G3" s="9">
        <v>14745656648</v>
      </c>
      <c r="H3" s="25">
        <f t="shared" si="0"/>
        <v>5</v>
      </c>
      <c r="I3" s="25">
        <f t="shared" si="1"/>
        <v>775.08719199999996</v>
      </c>
    </row>
    <row r="4" spans="1:9" ht="13.5" x14ac:dyDescent="0.35">
      <c r="A4" s="8">
        <v>3</v>
      </c>
      <c r="B4" s="7" t="s">
        <v>43</v>
      </c>
      <c r="C4" s="6" t="s">
        <v>42</v>
      </c>
      <c r="D4" s="5">
        <v>83</v>
      </c>
      <c r="E4" s="9">
        <v>34106066346</v>
      </c>
      <c r="F4" s="5">
        <v>2</v>
      </c>
      <c r="G4" s="9">
        <v>514740000</v>
      </c>
      <c r="H4" s="25">
        <f t="shared" si="0"/>
        <v>-0.97590361445783136</v>
      </c>
      <c r="I4" s="25">
        <f t="shared" si="1"/>
        <v>-0.98490767024323311</v>
      </c>
    </row>
    <row r="5" spans="1:9" ht="13.5" x14ac:dyDescent="0.35">
      <c r="A5" s="8">
        <v>4</v>
      </c>
      <c r="B5" s="7" t="s">
        <v>41</v>
      </c>
      <c r="C5" s="8" t="s">
        <v>40</v>
      </c>
      <c r="D5" s="5"/>
      <c r="E5" s="9"/>
      <c r="F5" s="5"/>
      <c r="G5" s="9"/>
      <c r="H5" s="25" t="e">
        <f t="shared" si="0"/>
        <v>#DIV/0!</v>
      </c>
      <c r="I5" s="25" t="e">
        <f t="shared" si="1"/>
        <v>#DIV/0!</v>
      </c>
    </row>
    <row r="6" spans="1:9" ht="13.5" x14ac:dyDescent="0.35">
      <c r="A6" s="8">
        <v>5</v>
      </c>
      <c r="B6" s="7" t="s">
        <v>39</v>
      </c>
      <c r="C6" s="8" t="s">
        <v>38</v>
      </c>
      <c r="D6" s="5">
        <v>1</v>
      </c>
      <c r="E6" s="9">
        <v>1619493000</v>
      </c>
      <c r="F6" s="5"/>
      <c r="G6" s="9"/>
      <c r="H6" s="25">
        <f t="shared" si="0"/>
        <v>-1</v>
      </c>
      <c r="I6" s="25">
        <f t="shared" si="1"/>
        <v>-1</v>
      </c>
    </row>
    <row r="7" spans="1:9" ht="13.5" x14ac:dyDescent="0.35">
      <c r="A7" s="8">
        <v>6</v>
      </c>
      <c r="B7" s="7" t="s">
        <v>37</v>
      </c>
      <c r="C7" s="8" t="s">
        <v>36</v>
      </c>
      <c r="D7" s="5">
        <v>48</v>
      </c>
      <c r="E7" s="9">
        <v>9421880000</v>
      </c>
      <c r="F7" s="5">
        <v>8</v>
      </c>
      <c r="G7" s="9">
        <v>9350000000</v>
      </c>
      <c r="H7" s="25">
        <f t="shared" si="0"/>
        <v>-0.83333333333333337</v>
      </c>
      <c r="I7" s="25">
        <f t="shared" si="1"/>
        <v>-7.6290506777840512E-3</v>
      </c>
    </row>
    <row r="8" spans="1:9" ht="13.5" x14ac:dyDescent="0.35">
      <c r="A8" s="8">
        <v>7</v>
      </c>
      <c r="B8" s="7" t="s">
        <v>35</v>
      </c>
      <c r="C8" s="8" t="s">
        <v>34</v>
      </c>
      <c r="D8" s="5">
        <v>1</v>
      </c>
      <c r="E8" s="9">
        <v>21807088823</v>
      </c>
      <c r="F8" s="5"/>
      <c r="G8" s="9"/>
      <c r="H8" s="25">
        <f t="shared" si="0"/>
        <v>-1</v>
      </c>
      <c r="I8" s="25">
        <f t="shared" si="1"/>
        <v>-1</v>
      </c>
    </row>
    <row r="9" spans="1:9" ht="13.5" x14ac:dyDescent="0.35">
      <c r="A9" s="8">
        <v>8</v>
      </c>
      <c r="B9" s="7" t="s">
        <v>33</v>
      </c>
      <c r="C9" s="8" t="s">
        <v>32</v>
      </c>
      <c r="D9" s="5">
        <v>5</v>
      </c>
      <c r="E9" s="9">
        <v>42222511802</v>
      </c>
      <c r="F9" s="5"/>
      <c r="G9" s="9"/>
      <c r="H9" s="25">
        <f t="shared" si="0"/>
        <v>-1</v>
      </c>
      <c r="I9" s="25">
        <f t="shared" si="1"/>
        <v>-1</v>
      </c>
    </row>
    <row r="10" spans="1:9" ht="13.5" x14ac:dyDescent="0.35">
      <c r="A10" s="8">
        <v>9</v>
      </c>
      <c r="B10" s="7" t="s">
        <v>31</v>
      </c>
      <c r="C10" s="8" t="s">
        <v>30</v>
      </c>
      <c r="D10" s="5"/>
      <c r="E10" s="9"/>
      <c r="F10" s="5"/>
      <c r="G10" s="9"/>
      <c r="H10" s="25" t="e">
        <f t="shared" si="0"/>
        <v>#DIV/0!</v>
      </c>
      <c r="I10" s="25" t="e">
        <f t="shared" si="1"/>
        <v>#DIV/0!</v>
      </c>
    </row>
    <row r="11" spans="1:9" ht="13.5" x14ac:dyDescent="0.35">
      <c r="A11" s="8">
        <v>10</v>
      </c>
      <c r="B11" s="7" t="s">
        <v>29</v>
      </c>
      <c r="C11" s="8" t="s">
        <v>28</v>
      </c>
      <c r="D11" s="5">
        <v>6</v>
      </c>
      <c r="E11" s="9">
        <v>16445315742</v>
      </c>
      <c r="F11" s="5">
        <v>11</v>
      </c>
      <c r="G11" s="9">
        <v>35253114340</v>
      </c>
      <c r="H11" s="25">
        <f t="shared" si="0"/>
        <v>0.83333333333333337</v>
      </c>
      <c r="I11" s="25">
        <f t="shared" si="1"/>
        <v>1.1436568864388788</v>
      </c>
    </row>
    <row r="12" spans="1:9" ht="13.5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3.5" x14ac:dyDescent="0.35">
      <c r="A13" s="8">
        <v>12</v>
      </c>
      <c r="B13" s="7" t="s">
        <v>25</v>
      </c>
      <c r="C13" s="8" t="s">
        <v>24</v>
      </c>
      <c r="D13" s="5">
        <v>1</v>
      </c>
      <c r="E13" s="9">
        <v>2722335000</v>
      </c>
      <c r="F13" s="5">
        <v>2</v>
      </c>
      <c r="G13" s="9">
        <v>37364114931</v>
      </c>
      <c r="H13" s="25">
        <f t="shared" ref="H13:I19" si="2">(F13-D13)/D13</f>
        <v>1</v>
      </c>
      <c r="I13" s="25">
        <f t="shared" si="2"/>
        <v>12.725024631795867</v>
      </c>
    </row>
    <row r="14" spans="1:9" ht="13.5" x14ac:dyDescent="0.35">
      <c r="A14" s="8">
        <v>13</v>
      </c>
      <c r="B14" s="7" t="s">
        <v>23</v>
      </c>
      <c r="C14" s="8" t="s">
        <v>22</v>
      </c>
      <c r="D14" s="5"/>
      <c r="E14" s="9"/>
      <c r="F14" s="5">
        <v>3</v>
      </c>
      <c r="G14" s="9">
        <v>4308520649</v>
      </c>
      <c r="H14" s="25" t="e">
        <f t="shared" si="2"/>
        <v>#DIV/0!</v>
      </c>
      <c r="I14" s="25" t="e">
        <f t="shared" si="2"/>
        <v>#DIV/0!</v>
      </c>
    </row>
    <row r="15" spans="1:9" ht="13.5" x14ac:dyDescent="0.35">
      <c r="A15" s="8">
        <v>14</v>
      </c>
      <c r="B15" s="7" t="s">
        <v>21</v>
      </c>
      <c r="C15" s="8" t="s">
        <v>20</v>
      </c>
      <c r="D15" s="5"/>
      <c r="E15" s="9"/>
      <c r="F15" s="5"/>
      <c r="G15" s="9"/>
      <c r="H15" s="25" t="e">
        <f t="shared" si="2"/>
        <v>#DIV/0!</v>
      </c>
      <c r="I15" s="25" t="e">
        <f t="shared" si="2"/>
        <v>#DIV/0!</v>
      </c>
    </row>
    <row r="16" spans="1:9" ht="13.5" x14ac:dyDescent="0.35">
      <c r="A16" s="8">
        <v>15</v>
      </c>
      <c r="B16" s="7" t="s">
        <v>19</v>
      </c>
      <c r="C16" s="8" t="s">
        <v>18</v>
      </c>
      <c r="D16" s="5">
        <v>72</v>
      </c>
      <c r="E16" s="9">
        <v>15086844600</v>
      </c>
      <c r="F16" s="5">
        <v>79</v>
      </c>
      <c r="G16" s="9">
        <v>19737308377</v>
      </c>
      <c r="H16" s="25">
        <f t="shared" si="2"/>
        <v>9.7222222222222224E-2</v>
      </c>
      <c r="I16" s="25">
        <f t="shared" si="2"/>
        <v>0.3082462834541293</v>
      </c>
    </row>
    <row r="17" spans="1:9" ht="13.5" x14ac:dyDescent="0.35">
      <c r="A17" s="8">
        <v>16</v>
      </c>
      <c r="B17" s="7" t="s">
        <v>17</v>
      </c>
      <c r="C17" s="8" t="s">
        <v>16</v>
      </c>
      <c r="D17" s="5">
        <v>1</v>
      </c>
      <c r="E17" s="9">
        <v>1000000000</v>
      </c>
      <c r="F17" s="5"/>
      <c r="G17" s="9"/>
      <c r="H17" s="25">
        <f t="shared" si="2"/>
        <v>-1</v>
      </c>
      <c r="I17" s="25">
        <f t="shared" si="2"/>
        <v>-1</v>
      </c>
    </row>
    <row r="18" spans="1:9" ht="13.5" x14ac:dyDescent="0.35">
      <c r="A18" s="8">
        <v>17</v>
      </c>
      <c r="B18" s="7" t="s">
        <v>15</v>
      </c>
      <c r="C18" s="8" t="s">
        <v>14</v>
      </c>
      <c r="D18" s="5"/>
      <c r="E18" s="9"/>
      <c r="F18" s="5"/>
      <c r="G18" s="9"/>
      <c r="H18" s="25" t="e">
        <f t="shared" si="2"/>
        <v>#DIV/0!</v>
      </c>
      <c r="I18" s="25" t="e">
        <f t="shared" si="2"/>
        <v>#DIV/0!</v>
      </c>
    </row>
    <row r="19" spans="1:9" ht="13.5" x14ac:dyDescent="0.35">
      <c r="A19" s="8">
        <v>18</v>
      </c>
      <c r="B19" s="7" t="s">
        <v>13</v>
      </c>
      <c r="C19" s="8" t="s">
        <v>12</v>
      </c>
      <c r="D19" s="5">
        <v>7</v>
      </c>
      <c r="E19" s="9">
        <v>57135673794</v>
      </c>
      <c r="F19" s="5">
        <v>4</v>
      </c>
      <c r="G19" s="9">
        <v>16456962246</v>
      </c>
      <c r="H19" s="25">
        <f t="shared" si="2"/>
        <v>-0.42857142857142855</v>
      </c>
      <c r="I19" s="25">
        <f t="shared" si="2"/>
        <v>-0.71196695246240016</v>
      </c>
    </row>
    <row r="20" spans="1:9" ht="13.5" x14ac:dyDescent="0.35">
      <c r="A20" s="8">
        <v>19</v>
      </c>
      <c r="B20" s="7" t="s">
        <v>11</v>
      </c>
      <c r="C20" s="8" t="s">
        <v>10</v>
      </c>
      <c r="D20" s="5"/>
      <c r="E20" s="9"/>
      <c r="F20" s="5"/>
      <c r="G20" s="9"/>
      <c r="H20" s="25">
        <v>0</v>
      </c>
      <c r="I20" s="25">
        <v>0</v>
      </c>
    </row>
    <row r="21" spans="1:9" ht="13.5" x14ac:dyDescent="0.35">
      <c r="A21" s="8">
        <v>20</v>
      </c>
      <c r="B21" s="7" t="s">
        <v>9</v>
      </c>
      <c r="C21" s="8" t="s">
        <v>8</v>
      </c>
      <c r="D21" s="5">
        <v>61</v>
      </c>
      <c r="E21" s="5">
        <v>9293181132</v>
      </c>
      <c r="F21" s="5">
        <v>157</v>
      </c>
      <c r="G21" s="5">
        <v>20554325000</v>
      </c>
      <c r="H21" s="25">
        <f>(F21-D21)/D21</f>
        <v>1.5737704918032787</v>
      </c>
      <c r="I21" s="25">
        <f>(G21-E21)/E21</f>
        <v>1.2117641642885391</v>
      </c>
    </row>
    <row r="22" spans="1:9" ht="13.5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</row>
    <row r="23" spans="1:9" ht="13.5" x14ac:dyDescent="0.35">
      <c r="A23" s="8">
        <v>22</v>
      </c>
      <c r="B23" s="7" t="s">
        <v>5</v>
      </c>
      <c r="C23" s="8" t="s">
        <v>4</v>
      </c>
      <c r="D23" s="5">
        <v>3</v>
      </c>
      <c r="E23" s="5">
        <v>4060777630</v>
      </c>
      <c r="F23" s="5"/>
      <c r="G23" s="5"/>
      <c r="H23" s="25">
        <f t="shared" ref="H23:I25" si="3">(F23-D23)/D23</f>
        <v>-1</v>
      </c>
      <c r="I23" s="25">
        <f t="shared" si="3"/>
        <v>-1</v>
      </c>
    </row>
    <row r="24" spans="1:9" ht="34.5" customHeight="1" x14ac:dyDescent="0.35">
      <c r="A24" s="8">
        <v>23</v>
      </c>
      <c r="B24" s="7" t="s">
        <v>2</v>
      </c>
      <c r="C24" s="6" t="s">
        <v>1</v>
      </c>
      <c r="D24" s="5"/>
      <c r="E24" s="5"/>
      <c r="F24" s="5"/>
      <c r="G24" s="5"/>
      <c r="H24" s="25" t="e">
        <f t="shared" si="3"/>
        <v>#DIV/0!</v>
      </c>
      <c r="I24" s="25" t="e">
        <f t="shared" si="3"/>
        <v>#DIV/0!</v>
      </c>
    </row>
    <row r="25" spans="1:9" ht="13.5" x14ac:dyDescent="0.35">
      <c r="A25" s="37" t="s">
        <v>0</v>
      </c>
      <c r="B25" s="38"/>
      <c r="C25" s="39"/>
      <c r="D25" s="2">
        <f>SUM(D2:D24)</f>
        <v>290</v>
      </c>
      <c r="E25" s="2">
        <f>SUM(E2:E24)</f>
        <v>214940167869</v>
      </c>
      <c r="F25" s="2">
        <f>SUM(F2:F24)</f>
        <v>272</v>
      </c>
      <c r="G25" s="2">
        <f>SUM(G2:G24)</f>
        <v>158284742191</v>
      </c>
      <c r="H25" s="24">
        <f t="shared" si="3"/>
        <v>-6.2068965517241378E-2</v>
      </c>
      <c r="I25" s="24">
        <f t="shared" si="3"/>
        <v>-0.26358696115157915</v>
      </c>
    </row>
  </sheetData>
  <mergeCells count="1">
    <mergeCell ref="A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DDB2-132D-4F0C-B4BD-C616A8A3390B}">
  <dimension ref="A1:X31"/>
  <sheetViews>
    <sheetView topLeftCell="B8" workbookViewId="0">
      <selection activeCell="V29" sqref="V29"/>
    </sheetView>
  </sheetViews>
  <sheetFormatPr baseColWidth="10" defaultColWidth="6.81640625" defaultRowHeight="15.5" x14ac:dyDescent="0.35"/>
  <cols>
    <col min="1" max="1" width="18" style="1" bestFit="1" customWidth="1"/>
    <col min="2" max="3" width="24.5429687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3" spans="1:3" x14ac:dyDescent="0.35">
      <c r="B3" s="12"/>
      <c r="C3" s="12"/>
    </row>
    <row r="4" spans="1:3" ht="20.25" customHeight="1" x14ac:dyDescent="0.35">
      <c r="A4" s="16"/>
      <c r="B4" s="16"/>
      <c r="C4" s="16"/>
    </row>
    <row r="5" spans="1:3" ht="10.5" customHeight="1" x14ac:dyDescent="0.35"/>
    <row r="6" spans="1:3" ht="13.5" customHeight="1" x14ac:dyDescent="0.35">
      <c r="A6" s="28" t="s">
        <v>50</v>
      </c>
      <c r="B6" s="15" t="s">
        <v>56</v>
      </c>
      <c r="C6" s="11" t="s">
        <v>55</v>
      </c>
    </row>
    <row r="7" spans="1:3" ht="15" customHeight="1" x14ac:dyDescent="0.35">
      <c r="A7" s="8" t="s">
        <v>80</v>
      </c>
      <c r="B7" s="9"/>
      <c r="C7" s="9"/>
    </row>
    <row r="8" spans="1:3" ht="15" customHeight="1" x14ac:dyDescent="0.35">
      <c r="A8" s="8" t="s">
        <v>79</v>
      </c>
      <c r="B8" s="9"/>
      <c r="C8" s="9"/>
    </row>
    <row r="9" spans="1:3" x14ac:dyDescent="0.35">
      <c r="A9" s="6" t="s">
        <v>42</v>
      </c>
      <c r="B9" s="9"/>
      <c r="C9" s="9"/>
    </row>
    <row r="10" spans="1:3" ht="15" customHeight="1" x14ac:dyDescent="0.35">
      <c r="A10" s="8" t="s">
        <v>78</v>
      </c>
      <c r="B10" s="9"/>
      <c r="C10" s="9"/>
    </row>
    <row r="11" spans="1:3" ht="15" customHeight="1" x14ac:dyDescent="0.35">
      <c r="A11" s="8" t="s">
        <v>77</v>
      </c>
      <c r="B11" s="9"/>
      <c r="C11" s="9"/>
    </row>
    <row r="12" spans="1:3" ht="15" customHeight="1" x14ac:dyDescent="0.35">
      <c r="A12" s="8" t="s">
        <v>76</v>
      </c>
      <c r="B12" s="9"/>
      <c r="C12" s="9"/>
    </row>
    <row r="13" spans="1:3" ht="15" customHeight="1" x14ac:dyDescent="0.35">
      <c r="A13" s="8" t="s">
        <v>75</v>
      </c>
      <c r="B13" s="9"/>
      <c r="C13" s="9"/>
    </row>
    <row r="14" spans="1:3" ht="15" customHeight="1" x14ac:dyDescent="0.35">
      <c r="A14" s="8" t="s">
        <v>74</v>
      </c>
      <c r="B14" s="9"/>
      <c r="C14" s="9"/>
    </row>
    <row r="15" spans="1:3" ht="15" customHeight="1" x14ac:dyDescent="0.35">
      <c r="A15" s="8" t="s">
        <v>73</v>
      </c>
      <c r="B15" s="9"/>
      <c r="C15" s="9"/>
    </row>
    <row r="16" spans="1:3" ht="15" customHeight="1" x14ac:dyDescent="0.35">
      <c r="A16" s="8" t="s">
        <v>72</v>
      </c>
      <c r="B16" s="9"/>
      <c r="C16" s="9"/>
    </row>
    <row r="17" spans="1:24" ht="15" customHeight="1" x14ac:dyDescent="0.35">
      <c r="A17" s="8" t="s">
        <v>71</v>
      </c>
      <c r="B17" s="9"/>
      <c r="C17" s="9"/>
    </row>
    <row r="18" spans="1:24" ht="15" customHeight="1" x14ac:dyDescent="0.35">
      <c r="A18" s="8" t="s">
        <v>70</v>
      </c>
      <c r="B18" s="9"/>
      <c r="C18" s="9"/>
    </row>
    <row r="19" spans="1:24" ht="15" customHeight="1" x14ac:dyDescent="0.35">
      <c r="A19" s="8" t="s">
        <v>69</v>
      </c>
      <c r="B19" s="9"/>
      <c r="C19" s="9"/>
    </row>
    <row r="20" spans="1:24" ht="15" customHeight="1" x14ac:dyDescent="0.35">
      <c r="A20" s="8" t="s">
        <v>68</v>
      </c>
      <c r="B20" s="9"/>
      <c r="C20" s="9"/>
    </row>
    <row r="21" spans="1:24" ht="15" customHeight="1" x14ac:dyDescent="0.35">
      <c r="A21" s="8" t="s">
        <v>67</v>
      </c>
      <c r="B21" s="9"/>
      <c r="C21" s="9"/>
    </row>
    <row r="22" spans="1:24" ht="15" customHeight="1" x14ac:dyDescent="0.35">
      <c r="A22" s="8" t="s">
        <v>66</v>
      </c>
      <c r="B22" s="9"/>
      <c r="C22" s="9"/>
    </row>
    <row r="23" spans="1:24" ht="15" customHeight="1" x14ac:dyDescent="0.35">
      <c r="A23" s="8" t="s">
        <v>65</v>
      </c>
      <c r="B23" s="9"/>
      <c r="C23" s="9"/>
    </row>
    <row r="24" spans="1:24" ht="15" customHeight="1" x14ac:dyDescent="0.35">
      <c r="A24" s="8" t="s">
        <v>10</v>
      </c>
      <c r="B24" s="9"/>
      <c r="C24" s="9"/>
    </row>
    <row r="25" spans="1:24" x14ac:dyDescent="0.35">
      <c r="A25" s="8" t="s">
        <v>64</v>
      </c>
      <c r="B25" s="5"/>
      <c r="C25" s="5"/>
    </row>
    <row r="26" spans="1:24" x14ac:dyDescent="0.35">
      <c r="A26" s="8" t="s">
        <v>63</v>
      </c>
      <c r="B26" s="5"/>
      <c r="C26" s="5"/>
    </row>
    <row r="27" spans="1:24" x14ac:dyDescent="0.35">
      <c r="A27" s="8" t="s">
        <v>62</v>
      </c>
      <c r="B27" s="5"/>
      <c r="C27" s="5"/>
    </row>
    <row r="28" spans="1:24" x14ac:dyDescent="0.35">
      <c r="A28" s="6" t="s">
        <v>61</v>
      </c>
      <c r="B28" s="5"/>
      <c r="C28" s="5"/>
      <c r="W28" s="1" t="s">
        <v>3</v>
      </c>
    </row>
    <row r="29" spans="1:24" ht="18" customHeight="1" x14ac:dyDescent="0.35"/>
    <row r="30" spans="1:24" ht="13.5" customHeight="1" x14ac:dyDescent="0.35">
      <c r="B30" s="4"/>
      <c r="C30" s="4"/>
    </row>
    <row r="31" spans="1:24" x14ac:dyDescent="0.35">
      <c r="X31" s="1" t="s">
        <v>3</v>
      </c>
    </row>
  </sheetData>
  <pageMargins left="0.7" right="0.7" top="0.75" bottom="0.75" header="0.3" footer="0.3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F474-5046-41C1-9F82-81E5F28D6045}">
  <dimension ref="A1:U30"/>
  <sheetViews>
    <sheetView topLeftCell="A2" workbookViewId="0">
      <selection activeCell="U29" sqref="U29"/>
    </sheetView>
  </sheetViews>
  <sheetFormatPr baseColWidth="10" defaultColWidth="6.81640625" defaultRowHeight="15.5" x14ac:dyDescent="0.35"/>
  <cols>
    <col min="1" max="1" width="18" style="1" bestFit="1" customWidth="1"/>
    <col min="2" max="3" width="20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3" spans="1:3" x14ac:dyDescent="0.35">
      <c r="B3" s="12"/>
      <c r="C3" s="12"/>
    </row>
    <row r="4" spans="1:3" ht="20.25" customHeight="1" x14ac:dyDescent="0.35">
      <c r="A4" s="16"/>
      <c r="B4" s="16"/>
      <c r="C4" s="16"/>
    </row>
    <row r="5" spans="1:3" ht="10.5" customHeight="1" x14ac:dyDescent="0.35"/>
    <row r="6" spans="1:3" ht="13.5" customHeight="1" x14ac:dyDescent="0.35">
      <c r="A6" s="28" t="s">
        <v>50</v>
      </c>
      <c r="B6" s="15" t="s">
        <v>56</v>
      </c>
      <c r="C6" s="11" t="s">
        <v>55</v>
      </c>
    </row>
    <row r="7" spans="1:3" ht="15" customHeight="1" x14ac:dyDescent="0.35">
      <c r="A7" s="8" t="s">
        <v>80</v>
      </c>
      <c r="B7" s="5"/>
      <c r="C7" s="5"/>
    </row>
    <row r="8" spans="1:3" ht="15" customHeight="1" x14ac:dyDescent="0.35">
      <c r="A8" s="8" t="s">
        <v>79</v>
      </c>
      <c r="B8" s="5"/>
      <c r="C8" s="5"/>
    </row>
    <row r="9" spans="1:3" x14ac:dyDescent="0.35">
      <c r="A9" s="6" t="s">
        <v>42</v>
      </c>
      <c r="B9" s="5"/>
      <c r="C9" s="5"/>
    </row>
    <row r="10" spans="1:3" ht="15" customHeight="1" x14ac:dyDescent="0.35">
      <c r="A10" s="8" t="s">
        <v>78</v>
      </c>
      <c r="B10" s="5"/>
      <c r="C10" s="5"/>
    </row>
    <row r="11" spans="1:3" ht="15" customHeight="1" x14ac:dyDescent="0.35">
      <c r="A11" s="8" t="s">
        <v>77</v>
      </c>
      <c r="B11" s="5"/>
      <c r="C11" s="5"/>
    </row>
    <row r="12" spans="1:3" ht="15" customHeight="1" x14ac:dyDescent="0.35">
      <c r="A12" s="8" t="s">
        <v>76</v>
      </c>
      <c r="B12" s="5"/>
      <c r="C12" s="5"/>
    </row>
    <row r="13" spans="1:3" ht="15" customHeight="1" x14ac:dyDescent="0.35">
      <c r="A13" s="8" t="s">
        <v>75</v>
      </c>
      <c r="B13" s="5"/>
      <c r="C13" s="5"/>
    </row>
    <row r="14" spans="1:3" ht="15" customHeight="1" x14ac:dyDescent="0.35">
      <c r="A14" s="8" t="s">
        <v>74</v>
      </c>
      <c r="B14" s="5"/>
      <c r="C14" s="5"/>
    </row>
    <row r="15" spans="1:3" ht="15" customHeight="1" x14ac:dyDescent="0.35">
      <c r="A15" s="8" t="s">
        <v>73</v>
      </c>
      <c r="B15" s="5"/>
      <c r="C15" s="5"/>
    </row>
    <row r="16" spans="1:3" ht="15" customHeight="1" x14ac:dyDescent="0.35">
      <c r="A16" s="8" t="s">
        <v>72</v>
      </c>
      <c r="B16" s="5"/>
      <c r="C16" s="5"/>
    </row>
    <row r="17" spans="1:21" ht="15" customHeight="1" x14ac:dyDescent="0.35">
      <c r="A17" s="8" t="s">
        <v>71</v>
      </c>
      <c r="B17" s="5"/>
      <c r="C17" s="5"/>
    </row>
    <row r="18" spans="1:21" ht="15" customHeight="1" x14ac:dyDescent="0.35">
      <c r="A18" s="8" t="s">
        <v>70</v>
      </c>
      <c r="B18" s="5"/>
      <c r="C18" s="5"/>
    </row>
    <row r="19" spans="1:21" ht="15" customHeight="1" x14ac:dyDescent="0.35">
      <c r="A19" s="8" t="s">
        <v>69</v>
      </c>
      <c r="B19" s="5"/>
      <c r="C19" s="5"/>
    </row>
    <row r="20" spans="1:21" ht="15" customHeight="1" x14ac:dyDescent="0.35">
      <c r="A20" s="8" t="s">
        <v>68</v>
      </c>
      <c r="B20" s="5"/>
      <c r="C20" s="5"/>
    </row>
    <row r="21" spans="1:21" ht="15" customHeight="1" x14ac:dyDescent="0.35">
      <c r="A21" s="8" t="s">
        <v>67</v>
      </c>
      <c r="B21" s="5"/>
      <c r="C21" s="5"/>
    </row>
    <row r="22" spans="1:21" ht="15" customHeight="1" x14ac:dyDescent="0.35">
      <c r="A22" s="8" t="s">
        <v>66</v>
      </c>
      <c r="B22" s="5"/>
      <c r="C22" s="5"/>
    </row>
    <row r="23" spans="1:21" ht="15" customHeight="1" x14ac:dyDescent="0.35">
      <c r="A23" s="8" t="s">
        <v>65</v>
      </c>
      <c r="B23" s="5"/>
      <c r="C23" s="5"/>
    </row>
    <row r="24" spans="1:21" ht="15" customHeight="1" x14ac:dyDescent="0.35">
      <c r="A24" s="8" t="s">
        <v>10</v>
      </c>
      <c r="B24" s="5"/>
      <c r="C24" s="5"/>
    </row>
    <row r="25" spans="1:21" x14ac:dyDescent="0.35">
      <c r="A25" s="8" t="s">
        <v>64</v>
      </c>
      <c r="B25" s="5"/>
      <c r="C25" s="5"/>
    </row>
    <row r="26" spans="1:21" x14ac:dyDescent="0.35">
      <c r="A26" s="8" t="s">
        <v>63</v>
      </c>
      <c r="B26" s="5"/>
      <c r="C26" s="5"/>
      <c r="U26" s="1" t="s">
        <v>3</v>
      </c>
    </row>
    <row r="27" spans="1:21" x14ac:dyDescent="0.35">
      <c r="A27" s="8" t="s">
        <v>62</v>
      </c>
      <c r="B27" s="5"/>
      <c r="C27" s="5"/>
    </row>
    <row r="28" spans="1:21" x14ac:dyDescent="0.35">
      <c r="A28" s="6" t="s">
        <v>61</v>
      </c>
      <c r="B28" s="5"/>
      <c r="C28" s="5"/>
    </row>
    <row r="29" spans="1:21" ht="18" customHeight="1" x14ac:dyDescent="0.35"/>
    <row r="30" spans="1:21" ht="13.5" customHeight="1" x14ac:dyDescent="0.35"/>
  </sheetData>
  <pageMargins left="0.7" right="0.7" top="0.75" bottom="0.75" header="0.3" footer="0.3"/>
  <pageSetup paperSize="9" scale="9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EA97-F543-40E1-B139-65F47AB05FB6}">
  <dimension ref="A1:C29"/>
  <sheetViews>
    <sheetView topLeftCell="A7" workbookViewId="0">
      <selection activeCell="B9" sqref="B9"/>
    </sheetView>
  </sheetViews>
  <sheetFormatPr baseColWidth="10" defaultColWidth="6.81640625" defaultRowHeight="15.5" x14ac:dyDescent="0.35"/>
  <cols>
    <col min="1" max="1" width="15.26953125" style="1" bestFit="1" customWidth="1"/>
    <col min="2" max="3" width="20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4" spans="1:3" ht="20.25" customHeight="1" x14ac:dyDescent="0.35">
      <c r="A4" s="16"/>
    </row>
    <row r="5" spans="1:3" ht="10.5" customHeight="1" x14ac:dyDescent="0.35"/>
    <row r="6" spans="1:3" ht="13.5" customHeight="1" x14ac:dyDescent="0.35">
      <c r="A6" s="29" t="s">
        <v>50</v>
      </c>
      <c r="B6" s="13" t="s">
        <v>56</v>
      </c>
      <c r="C6" s="13" t="s">
        <v>55</v>
      </c>
    </row>
    <row r="7" spans="1:3" ht="15" customHeight="1" x14ac:dyDescent="0.35">
      <c r="A7" s="8" t="s">
        <v>80</v>
      </c>
      <c r="B7" s="21"/>
      <c r="C7" s="5"/>
    </row>
    <row r="8" spans="1:3" ht="15" customHeight="1" x14ac:dyDescent="0.35">
      <c r="A8" s="8" t="s">
        <v>79</v>
      </c>
      <c r="B8" s="21"/>
      <c r="C8" s="5"/>
    </row>
    <row r="9" spans="1:3" x14ac:dyDescent="0.35">
      <c r="A9" s="6" t="s">
        <v>42</v>
      </c>
      <c r="B9" s="21"/>
      <c r="C9" s="5"/>
    </row>
    <row r="10" spans="1:3" ht="15" customHeight="1" x14ac:dyDescent="0.35">
      <c r="A10" s="8" t="s">
        <v>85</v>
      </c>
      <c r="B10" s="21"/>
      <c r="C10" s="5"/>
    </row>
    <row r="11" spans="1:3" ht="15" customHeight="1" x14ac:dyDescent="0.35">
      <c r="A11" s="8" t="s">
        <v>77</v>
      </c>
      <c r="B11" s="21"/>
      <c r="C11" s="5"/>
    </row>
    <row r="12" spans="1:3" ht="15" customHeight="1" x14ac:dyDescent="0.35">
      <c r="A12" s="8" t="s">
        <v>76</v>
      </c>
      <c r="B12" s="21"/>
      <c r="C12" s="5"/>
    </row>
    <row r="13" spans="1:3" ht="15" customHeight="1" x14ac:dyDescent="0.35">
      <c r="A13" s="8" t="s">
        <v>75</v>
      </c>
      <c r="B13" s="21"/>
      <c r="C13" s="5"/>
    </row>
    <row r="14" spans="1:3" ht="15" customHeight="1" x14ac:dyDescent="0.35">
      <c r="A14" s="8" t="s">
        <v>84</v>
      </c>
      <c r="B14" s="21"/>
      <c r="C14" s="5"/>
    </row>
    <row r="15" spans="1:3" ht="15" customHeight="1" x14ac:dyDescent="0.35">
      <c r="A15" s="8" t="s">
        <v>73</v>
      </c>
      <c r="B15" s="21"/>
      <c r="C15" s="5"/>
    </row>
    <row r="16" spans="1:3" ht="15" customHeight="1" x14ac:dyDescent="0.35">
      <c r="A16" s="8" t="s">
        <v>72</v>
      </c>
      <c r="B16" s="21"/>
      <c r="C16" s="5"/>
    </row>
    <row r="17" spans="1:3" ht="15" customHeight="1" x14ac:dyDescent="0.35">
      <c r="A17" s="8" t="s">
        <v>71</v>
      </c>
      <c r="B17" s="21"/>
      <c r="C17" s="5"/>
    </row>
    <row r="18" spans="1:3" ht="15" customHeight="1" x14ac:dyDescent="0.35">
      <c r="A18" s="8" t="s">
        <v>83</v>
      </c>
      <c r="B18" s="21"/>
      <c r="C18" s="5"/>
    </row>
    <row r="19" spans="1:3" ht="15" customHeight="1" x14ac:dyDescent="0.35">
      <c r="A19" s="8" t="s">
        <v>69</v>
      </c>
      <c r="B19" s="21"/>
      <c r="C19" s="5"/>
    </row>
    <row r="20" spans="1:3" ht="15" customHeight="1" x14ac:dyDescent="0.35">
      <c r="A20" s="8" t="s">
        <v>82</v>
      </c>
      <c r="B20" s="21"/>
      <c r="C20" s="5"/>
    </row>
    <row r="21" spans="1:3" ht="15" customHeight="1" x14ac:dyDescent="0.35">
      <c r="A21" s="8" t="s">
        <v>67</v>
      </c>
      <c r="B21" s="21"/>
      <c r="C21" s="5"/>
    </row>
    <row r="22" spans="1:3" ht="15" customHeight="1" x14ac:dyDescent="0.35">
      <c r="A22" s="8" t="s">
        <v>66</v>
      </c>
      <c r="B22" s="21"/>
      <c r="C22" s="5"/>
    </row>
    <row r="23" spans="1:3" ht="15" customHeight="1" x14ac:dyDescent="0.35">
      <c r="A23" s="8" t="s">
        <v>65</v>
      </c>
      <c r="B23" s="21"/>
      <c r="C23" s="5"/>
    </row>
    <row r="24" spans="1:3" ht="15" customHeight="1" x14ac:dyDescent="0.35">
      <c r="A24" s="8" t="s">
        <v>10</v>
      </c>
      <c r="B24" s="21"/>
      <c r="C24" s="5"/>
    </row>
    <row r="25" spans="1:3" x14ac:dyDescent="0.35">
      <c r="A25" s="8" t="s">
        <v>81</v>
      </c>
      <c r="B25" s="21"/>
      <c r="C25" s="5"/>
    </row>
    <row r="26" spans="1:3" x14ac:dyDescent="0.35">
      <c r="A26" s="8" t="s">
        <v>4</v>
      </c>
      <c r="B26" s="21"/>
      <c r="C26" s="5"/>
    </row>
    <row r="27" spans="1:3" x14ac:dyDescent="0.35">
      <c r="A27" s="6" t="s">
        <v>61</v>
      </c>
      <c r="B27" s="21"/>
      <c r="C27" s="5"/>
    </row>
    <row r="28" spans="1:3" ht="18" customHeight="1" x14ac:dyDescent="0.35"/>
    <row r="29" spans="1:3" ht="13.5" customHeight="1" x14ac:dyDescent="0.35">
      <c r="B29" s="3"/>
      <c r="C29" s="3"/>
    </row>
  </sheetData>
  <pageMargins left="0.7" right="0.7" top="0.75" bottom="0.75" header="0.3" footer="0.3"/>
  <pageSetup paperSize="9" scale="9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95E3-B8AA-4341-9AD8-24E31C290A85}">
  <dimension ref="A1:C29"/>
  <sheetViews>
    <sheetView topLeftCell="A171" zoomScale="90" zoomScaleNormal="90" workbookViewId="0">
      <selection activeCell="B185" sqref="B185"/>
    </sheetView>
  </sheetViews>
  <sheetFormatPr baseColWidth="10" defaultColWidth="6.81640625" defaultRowHeight="15.5" x14ac:dyDescent="0.35"/>
  <cols>
    <col min="1" max="1" width="18" style="1" bestFit="1" customWidth="1"/>
    <col min="2" max="3" width="25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4" spans="1:3" ht="20.25" customHeight="1" x14ac:dyDescent="0.35">
      <c r="A4" s="16"/>
    </row>
    <row r="5" spans="1:3" ht="10.5" customHeight="1" x14ac:dyDescent="0.35"/>
    <row r="6" spans="1:3" ht="13.5" customHeight="1" x14ac:dyDescent="0.35">
      <c r="A6" s="29" t="s">
        <v>50</v>
      </c>
      <c r="B6" s="13" t="s">
        <v>56</v>
      </c>
      <c r="C6" s="13" t="s">
        <v>55</v>
      </c>
    </row>
    <row r="7" spans="1:3" ht="15" customHeight="1" x14ac:dyDescent="0.35">
      <c r="A7" s="8" t="s">
        <v>80</v>
      </c>
      <c r="B7" s="22"/>
      <c r="C7" s="9"/>
    </row>
    <row r="8" spans="1:3" ht="15" customHeight="1" x14ac:dyDescent="0.35">
      <c r="A8" s="8" t="s">
        <v>87</v>
      </c>
      <c r="B8" s="22"/>
      <c r="C8" s="9"/>
    </row>
    <row r="9" spans="1:3" x14ac:dyDescent="0.35">
      <c r="A9" s="6" t="s">
        <v>42</v>
      </c>
      <c r="B9" s="22"/>
      <c r="C9" s="9"/>
    </row>
    <row r="10" spans="1:3" ht="15" customHeight="1" x14ac:dyDescent="0.35">
      <c r="A10" s="8" t="s">
        <v>85</v>
      </c>
      <c r="B10" s="22"/>
      <c r="C10" s="9"/>
    </row>
    <row r="11" spans="1:3" ht="15" customHeight="1" x14ac:dyDescent="0.35">
      <c r="A11" s="8" t="s">
        <v>77</v>
      </c>
      <c r="B11" s="22"/>
      <c r="C11" s="9"/>
    </row>
    <row r="12" spans="1:3" ht="15" customHeight="1" x14ac:dyDescent="0.35">
      <c r="A12" s="8" t="s">
        <v>76</v>
      </c>
      <c r="B12" s="22"/>
      <c r="C12" s="9"/>
    </row>
    <row r="13" spans="1:3" ht="15" customHeight="1" x14ac:dyDescent="0.35">
      <c r="A13" s="8" t="s">
        <v>75</v>
      </c>
      <c r="B13" s="22"/>
      <c r="C13" s="9"/>
    </row>
    <row r="14" spans="1:3" ht="15" customHeight="1" x14ac:dyDescent="0.35">
      <c r="A14" s="8" t="s">
        <v>74</v>
      </c>
      <c r="B14" s="22"/>
      <c r="C14" s="9"/>
    </row>
    <row r="15" spans="1:3" ht="15" customHeight="1" x14ac:dyDescent="0.35">
      <c r="A15" s="8" t="s">
        <v>73</v>
      </c>
      <c r="B15" s="22"/>
      <c r="C15" s="9"/>
    </row>
    <row r="16" spans="1:3" ht="15" customHeight="1" x14ac:dyDescent="0.35">
      <c r="A16" s="8" t="s">
        <v>72</v>
      </c>
      <c r="B16" s="22"/>
      <c r="C16" s="9"/>
    </row>
    <row r="17" spans="1:3" ht="15" customHeight="1" x14ac:dyDescent="0.35">
      <c r="A17" s="8" t="s">
        <v>71</v>
      </c>
      <c r="B17" s="22"/>
      <c r="C17" s="9"/>
    </row>
    <row r="18" spans="1:3" ht="15" customHeight="1" x14ac:dyDescent="0.35">
      <c r="A18" s="8" t="s">
        <v>70</v>
      </c>
      <c r="B18" s="22"/>
      <c r="C18" s="9"/>
    </row>
    <row r="19" spans="1:3" ht="15" customHeight="1" x14ac:dyDescent="0.35">
      <c r="A19" s="8" t="s">
        <v>69</v>
      </c>
      <c r="B19" s="22"/>
      <c r="C19" s="9"/>
    </row>
    <row r="20" spans="1:3" ht="15" customHeight="1" x14ac:dyDescent="0.35">
      <c r="A20" s="8" t="s">
        <v>68</v>
      </c>
      <c r="B20" s="22"/>
      <c r="C20" s="9"/>
    </row>
    <row r="21" spans="1:3" ht="15" customHeight="1" x14ac:dyDescent="0.35">
      <c r="A21" s="8" t="s">
        <v>67</v>
      </c>
      <c r="B21" s="22"/>
      <c r="C21" s="9"/>
    </row>
    <row r="22" spans="1:3" ht="15" customHeight="1" x14ac:dyDescent="0.35">
      <c r="A22" s="8" t="s">
        <v>66</v>
      </c>
      <c r="B22" s="22"/>
      <c r="C22" s="9"/>
    </row>
    <row r="23" spans="1:3" ht="15" customHeight="1" x14ac:dyDescent="0.35">
      <c r="A23" s="8" t="s">
        <v>65</v>
      </c>
      <c r="B23" s="22"/>
      <c r="C23" s="9"/>
    </row>
    <row r="24" spans="1:3" ht="15" customHeight="1" x14ac:dyDescent="0.35">
      <c r="A24" s="8" t="s">
        <v>86</v>
      </c>
      <c r="B24" s="22"/>
      <c r="C24" s="9"/>
    </row>
    <row r="25" spans="1:3" x14ac:dyDescent="0.35">
      <c r="A25" s="8" t="s">
        <v>81</v>
      </c>
      <c r="B25" s="21"/>
      <c r="C25" s="5"/>
    </row>
    <row r="26" spans="1:3" x14ac:dyDescent="0.35">
      <c r="A26" s="8" t="s">
        <v>62</v>
      </c>
      <c r="B26" s="21"/>
      <c r="C26" s="5"/>
    </row>
    <row r="27" spans="1:3" x14ac:dyDescent="0.35">
      <c r="A27" s="6" t="s">
        <v>61</v>
      </c>
      <c r="B27" s="21"/>
      <c r="C27" s="5"/>
    </row>
    <row r="28" spans="1:3" ht="18" customHeight="1" x14ac:dyDescent="0.35"/>
    <row r="29" spans="1:3" ht="13.5" customHeight="1" x14ac:dyDescent="0.35"/>
  </sheetData>
  <pageMargins left="0.7" right="0.7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GNF</vt:lpstr>
      <vt:lpstr>variation</vt:lpstr>
      <vt:lpstr>virements</vt:lpstr>
      <vt:lpstr>chèques</vt:lpstr>
      <vt:lpstr>chèques représenté</vt:lpstr>
      <vt:lpstr>lettre de change</vt:lpstr>
      <vt:lpstr>virements gra1</vt:lpstr>
      <vt:lpstr>virements gra2</vt:lpstr>
      <vt:lpstr>chéques graph 1</vt:lpstr>
      <vt:lpstr>chéques graph2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2026-05-11T10:05:20Z</dcterms:created>
  <dcterms:modified xsi:type="dcterms:W3CDTF">2026-05-13T16:40:48Z</dcterms:modified>
</cp:coreProperties>
</file>