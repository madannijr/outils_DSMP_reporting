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sBCRG\Données\"/>
    </mc:Choice>
  </mc:AlternateContent>
  <xr:revisionPtr revIDLastSave="0" documentId="13_ncr:1_{5B7CE69B-59DA-4C97-9F00-0E65344D1BDD}" xr6:coauthVersionLast="47" xr6:coauthVersionMax="47" xr10:uidLastSave="{00000000-0000-0000-0000-000000000000}"/>
  <bookViews>
    <workbookView xWindow="-110" yWindow="-110" windowWidth="19420" windowHeight="10420" xr2:uid="{610CDBC6-4A4C-4CE9-AD4D-CBBF757CFD17}"/>
  </bookViews>
  <sheets>
    <sheet name="virements" sheetId="4" r:id="rId1"/>
    <sheet name="chèques" sheetId="5" r:id="rId2"/>
    <sheet name="chèques représenté" sheetId="6" r:id="rId3"/>
    <sheet name="lettre de change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1" i="4"/>
  <c r="I21" i="4"/>
  <c r="H23" i="4"/>
  <c r="I23" i="4"/>
  <c r="H24" i="4"/>
  <c r="I24" i="4"/>
  <c r="H2" i="7"/>
  <c r="I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1" i="7"/>
  <c r="I21" i="7"/>
  <c r="H23" i="7"/>
  <c r="I23" i="7"/>
  <c r="H24" i="7"/>
  <c r="I24" i="7"/>
  <c r="D25" i="7"/>
  <c r="E25" i="7"/>
  <c r="F25" i="7"/>
  <c r="G25" i="7"/>
  <c r="H25" i="7"/>
  <c r="H2" i="6"/>
  <c r="I2" i="6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1" i="6"/>
  <c r="I21" i="6"/>
  <c r="H23" i="6"/>
  <c r="I23" i="6"/>
  <c r="H24" i="6"/>
  <c r="I24" i="6"/>
  <c r="D25" i="6"/>
  <c r="E25" i="6"/>
  <c r="F25" i="6"/>
  <c r="G25" i="6"/>
  <c r="I25" i="6" s="1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1" i="5"/>
  <c r="I21" i="5"/>
  <c r="H23" i="5"/>
  <c r="I23" i="5"/>
  <c r="H24" i="5"/>
  <c r="I24" i="5"/>
  <c r="D25" i="5"/>
  <c r="E25" i="5"/>
  <c r="I25" i="5" s="1"/>
  <c r="F25" i="5"/>
  <c r="G25" i="5"/>
  <c r="D25" i="4"/>
  <c r="E25" i="4"/>
  <c r="F25" i="4"/>
  <c r="G25" i="4"/>
  <c r="I25" i="7" l="1"/>
  <c r="H25" i="6"/>
  <c r="H25" i="5"/>
  <c r="H25" i="4"/>
  <c r="I25" i="4"/>
</calcChain>
</file>

<file path=xl/sharedStrings.xml><?xml version="1.0" encoding="utf-8"?>
<sst xmlns="http://schemas.openxmlformats.org/spreadsheetml/2006/main" count="230" uniqueCount="58">
  <si>
    <t>TOTAUX</t>
  </si>
  <si>
    <t xml:space="preserve">SOCIETE DE FINANCEMENT DU COMMERCE ET DE 
L'INDUSTRIE </t>
  </si>
  <si>
    <t>039</t>
  </si>
  <si>
    <t xml:space="preserve"> </t>
  </si>
  <si>
    <t>ACCESS-BANK</t>
  </si>
  <si>
    <t>036</t>
  </si>
  <si>
    <t>AFRICAN LEASE SA GUINEE</t>
  </si>
  <si>
    <t>020</t>
  </si>
  <si>
    <t>CORIS BANK INTERNATIONAL SA GUINEE</t>
  </si>
  <si>
    <t>037</t>
  </si>
  <si>
    <t>BNI GUINEE</t>
  </si>
  <si>
    <t>035</t>
  </si>
  <si>
    <t>Banque Nationale de Guinée S.A</t>
  </si>
  <si>
    <t>022</t>
  </si>
  <si>
    <t>UNITED BANK FOR AFRICA GUINEA</t>
  </si>
  <si>
    <t>015</t>
  </si>
  <si>
    <t>SKYE BANK GUINEA LIMITED S.A.</t>
  </si>
  <si>
    <t>012</t>
  </si>
  <si>
    <t>SOCIETE GENERALE DE BANQUES EN GUINEE</t>
  </si>
  <si>
    <t>003</t>
  </si>
  <si>
    <t>DIAMA BANK SA</t>
  </si>
  <si>
    <t>038</t>
  </si>
  <si>
    <t>NSIA BANQUE GUINEE</t>
  </si>
  <si>
    <t>017</t>
  </si>
  <si>
    <t xml:space="preserve">BANQUE POUR LE COMMERCE ET L'INDUSTRIE DE GUINEE </t>
  </si>
  <si>
    <t>019</t>
  </si>
  <si>
    <t>BANQUE DE DEVELOPPEMENT DE GUINEE</t>
  </si>
  <si>
    <t>023</t>
  </si>
  <si>
    <t>ECOBANK GUINEE</t>
  </si>
  <si>
    <t>010</t>
  </si>
  <si>
    <t>VISTABANK SA</t>
  </si>
  <si>
    <t>011</t>
  </si>
  <si>
    <t>FBNBANK GUINEE</t>
  </si>
  <si>
    <t>008</t>
  </si>
  <si>
    <t>BANQUE ISLAMIQUE DE GUINEE</t>
  </si>
  <si>
    <t>004</t>
  </si>
  <si>
    <t>ORABANK GUINEE</t>
  </si>
  <si>
    <t>005</t>
  </si>
  <si>
    <t>BANQUE POPULAIRE MAROCO-GUINEE</t>
  </si>
  <si>
    <t>006</t>
  </si>
  <si>
    <t>AFRILAND FIRST BANK GUINEE S A</t>
  </si>
  <si>
    <t>021</t>
  </si>
  <si>
    <t>VISTAGUI</t>
  </si>
  <si>
    <t>002</t>
  </si>
  <si>
    <t>BSIC GUINEE CONAKRY</t>
  </si>
  <si>
    <t>013</t>
  </si>
  <si>
    <t>BANQUE CENTRALE</t>
  </si>
  <si>
    <t>001</t>
  </si>
  <si>
    <t>Montant</t>
  </si>
  <si>
    <t>Nombre</t>
  </si>
  <si>
    <t>Banque</t>
  </si>
  <si>
    <t>Code</t>
  </si>
  <si>
    <t>N°</t>
  </si>
  <si>
    <t>,</t>
  </si>
  <si>
    <t>Nombre_T1_2025</t>
  </si>
  <si>
    <t>Montant_T1_2025</t>
  </si>
  <si>
    <t>Nombre_T1_2026</t>
  </si>
  <si>
    <t>Montant_T1_2026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</si>
</sst>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color indexed="8"/>
      <name val="Verdana"/>
      <family val="2"/>
    </font>
    <font>
      <b/>
      <sz val="10"/>
      <name val="Verdana"/>
      <family val="2"/>
    </font>
    <font>
      <sz val="12"/>
      <name val="Arial"/>
      <family val="2"/>
    </font>
    <font>
      <b/>
      <sz val="12"/>
      <color indexed="8"/>
      <name val="Verdana"/>
      <family val="2"/>
    </font>
    <font>
      <sz val="12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16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>
      <alignment vertical="top"/>
    </xf>
    <xf numFmtId="165" fontId="4" fillId="0" borderId="1" xfId="2" applyNumberFormat="1" applyFont="1" applyBorder="1" applyAlignment="1">
      <alignment horizontal="center" vertical="top"/>
    </xf>
    <xf numFmtId="3" fontId="5" fillId="0" borderId="0" xfId="1" applyNumberFormat="1" applyFont="1" applyAlignment="1">
      <alignment horizontal="left" vertical="top"/>
    </xf>
    <xf numFmtId="3" fontId="5" fillId="0" borderId="0" xfId="1" applyNumberFormat="1" applyFont="1" applyAlignment="1">
      <alignment horizontal="right" vertical="top"/>
    </xf>
    <xf numFmtId="165" fontId="6" fillId="0" borderId="1" xfId="2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 wrapText="1"/>
    </xf>
    <xf numFmtId="0" fontId="6" fillId="0" borderId="1" xfId="1" quotePrefix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165" fontId="6" fillId="0" borderId="1" xfId="2" applyNumberFormat="1" applyFont="1" applyBorder="1" applyAlignment="1">
      <alignment horizontal="right" vertical="top"/>
    </xf>
    <xf numFmtId="10" fontId="4" fillId="0" borderId="1" xfId="3" applyNumberFormat="1" applyFont="1" applyBorder="1" applyAlignment="1">
      <alignment horizontal="center" vertical="top"/>
    </xf>
    <xf numFmtId="10" fontId="6" fillId="0" borderId="1" xfId="3" applyNumberFormat="1" applyFont="1" applyBorder="1" applyAlignment="1">
      <alignment horizontal="center" vertical="top"/>
    </xf>
    <xf numFmtId="10" fontId="2" fillId="0" borderId="0" xfId="1" applyNumberFormat="1" applyFont="1">
      <alignment vertical="top"/>
    </xf>
    <xf numFmtId="0" fontId="1" fillId="0" borderId="0" xfId="1">
      <alignment vertical="top"/>
    </xf>
    <xf numFmtId="0" fontId="8" fillId="2" borderId="0" xfId="1" applyFont="1" applyFill="1">
      <alignment vertical="top"/>
    </xf>
    <xf numFmtId="0" fontId="2" fillId="2" borderId="0" xfId="1" applyFont="1" applyFill="1">
      <alignment vertical="top"/>
    </xf>
    <xf numFmtId="0" fontId="1" fillId="2" borderId="0" xfId="1" applyFill="1">
      <alignment vertical="top"/>
    </xf>
    <xf numFmtId="0" fontId="4" fillId="2" borderId="1" xfId="1" applyFont="1" applyFill="1" applyBorder="1" applyAlignment="1">
      <alignment vertical="center"/>
    </xf>
    <xf numFmtId="10" fontId="4" fillId="2" borderId="1" xfId="1" applyNumberFormat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10" fontId="9" fillId="3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top"/>
    </xf>
    <xf numFmtId="165" fontId="10" fillId="0" borderId="1" xfId="2" applyNumberFormat="1" applyFont="1" applyBorder="1" applyAlignment="1">
      <alignment horizontal="center" vertical="top"/>
    </xf>
    <xf numFmtId="165" fontId="10" fillId="0" borderId="1" xfId="2" applyNumberFormat="1" applyFont="1" applyBorder="1" applyAlignment="1">
      <alignment horizontal="right" vertical="top"/>
    </xf>
    <xf numFmtId="10" fontId="10" fillId="0" borderId="1" xfId="3" applyNumberFormat="1" applyFont="1" applyBorder="1" applyAlignment="1">
      <alignment horizontal="center" vertical="top"/>
    </xf>
    <xf numFmtId="0" fontId="10" fillId="0" borderId="1" xfId="1" quotePrefix="1" applyFont="1" applyBorder="1" applyAlignment="1">
      <alignment horizontal="center" vertical="top"/>
    </xf>
    <xf numFmtId="0" fontId="10" fillId="0" borderId="1" xfId="1" applyFont="1" applyBorder="1" applyAlignment="1">
      <alignment horizontal="center" vertical="top" wrapText="1"/>
    </xf>
    <xf numFmtId="165" fontId="9" fillId="0" borderId="1" xfId="2" applyNumberFormat="1" applyFont="1" applyBorder="1" applyAlignment="1">
      <alignment horizontal="center" vertical="top"/>
    </xf>
    <xf numFmtId="10" fontId="9" fillId="0" borderId="1" xfId="3" applyNumberFormat="1" applyFont="1" applyBorder="1" applyAlignment="1">
      <alignment horizontal="center" vertical="top"/>
    </xf>
    <xf numFmtId="10" fontId="4" fillId="2" borderId="1" xfId="1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9" fillId="0" borderId="3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top"/>
    </xf>
  </cellXfs>
  <cellStyles count="4">
    <cellStyle name="Milliers 2" xfId="2" xr:uid="{2671F5C8-9156-4A45-84E2-FC2D4651F3B8}"/>
    <cellStyle name="Normal" xfId="0" builtinId="0"/>
    <cellStyle name="Normal 2" xfId="1" xr:uid="{8FAC44A9-CC9D-4AFD-B86F-21E01A8F1DF7}"/>
    <cellStyle name="Pourcentage 2" xfId="3" xr:uid="{1EA18199-1392-4631-A3AE-C899DD5A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CB5F-0B8F-4EB2-82F8-82EE0BEC0F20}">
  <dimension ref="A1:T27"/>
  <sheetViews>
    <sheetView tabSelected="1" zoomScale="80" zoomScaleNormal="80" workbookViewId="0">
      <selection activeCell="D1" sqref="D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6.453125" style="1" bestFit="1" customWidth="1"/>
    <col min="4" max="4" width="26.08984375" style="1" customWidth="1"/>
    <col min="5" max="5" width="24.54296875" style="1" bestFit="1" customWidth="1"/>
    <col min="6" max="6" width="30.54296875" style="1" customWidth="1"/>
    <col min="7" max="7" width="31" style="1" customWidth="1"/>
    <col min="8" max="8" width="12" style="1" customWidth="1"/>
    <col min="9" max="9" width="11.81640625" style="1" customWidth="1"/>
    <col min="10" max="16384" width="6.81640625" style="1"/>
  </cols>
  <sheetData>
    <row r="1" spans="1:20" s="14" customFormat="1" ht="52" customHeight="1" x14ac:dyDescent="0.35">
      <c r="A1" s="20" t="s">
        <v>52</v>
      </c>
      <c r="B1" s="20" t="s">
        <v>51</v>
      </c>
      <c r="C1" s="20" t="s">
        <v>50</v>
      </c>
      <c r="D1" s="20" t="s">
        <v>54</v>
      </c>
      <c r="E1" s="20" t="s">
        <v>55</v>
      </c>
      <c r="F1" s="20" t="s">
        <v>56</v>
      </c>
      <c r="G1" s="20" t="s">
        <v>57</v>
      </c>
      <c r="H1" s="20" t="s">
        <v>49</v>
      </c>
      <c r="I1" s="20" t="s">
        <v>48</v>
      </c>
    </row>
    <row r="2" spans="1:20" ht="15" customHeight="1" x14ac:dyDescent="0.35">
      <c r="A2" s="8">
        <v>1</v>
      </c>
      <c r="B2" s="8" t="s">
        <v>47</v>
      </c>
      <c r="C2" s="8" t="s">
        <v>46</v>
      </c>
      <c r="D2" s="5">
        <v>5883</v>
      </c>
      <c r="E2" s="9">
        <v>144658130402</v>
      </c>
      <c r="F2" s="5">
        <v>9469</v>
      </c>
      <c r="G2" s="9">
        <v>246981351539</v>
      </c>
      <c r="H2" s="11">
        <f>(F2-D2)/D2</f>
        <v>0.60955294917559066</v>
      </c>
      <c r="I2" s="11">
        <f t="shared" ref="I2:I11" si="0">(G2-E2)/E2</f>
        <v>0.70734510982996435</v>
      </c>
    </row>
    <row r="3" spans="1:20" ht="15" customHeight="1" x14ac:dyDescent="0.35">
      <c r="A3" s="8">
        <v>2</v>
      </c>
      <c r="B3" s="7" t="s">
        <v>45</v>
      </c>
      <c r="C3" s="8" t="s">
        <v>44</v>
      </c>
      <c r="D3" s="5">
        <v>1435</v>
      </c>
      <c r="E3" s="9">
        <v>48850784933</v>
      </c>
      <c r="F3" s="5">
        <v>3238</v>
      </c>
      <c r="G3" s="9">
        <v>213418567441</v>
      </c>
      <c r="H3" s="11">
        <f t="shared" ref="H3:H11" si="1">(F3-D3)/D3</f>
        <v>1.256445993031359</v>
      </c>
      <c r="I3" s="11">
        <f t="shared" si="0"/>
        <v>3.3687848155092817</v>
      </c>
    </row>
    <row r="4" spans="1:20" x14ac:dyDescent="0.35">
      <c r="A4" s="8">
        <v>3</v>
      </c>
      <c r="B4" s="7" t="s">
        <v>43</v>
      </c>
      <c r="C4" s="6" t="s">
        <v>42</v>
      </c>
      <c r="D4" s="5">
        <v>17328</v>
      </c>
      <c r="E4" s="9">
        <v>241529765480</v>
      </c>
      <c r="F4" s="5">
        <v>31001</v>
      </c>
      <c r="G4" s="9">
        <v>341393781403</v>
      </c>
      <c r="H4" s="11">
        <f t="shared" si="1"/>
        <v>0.78906971375807944</v>
      </c>
      <c r="I4" s="11">
        <f t="shared" si="0"/>
        <v>0.41346463333219813</v>
      </c>
    </row>
    <row r="5" spans="1:20" ht="15" customHeight="1" x14ac:dyDescent="0.35">
      <c r="A5" s="8">
        <v>4</v>
      </c>
      <c r="B5" s="7" t="s">
        <v>41</v>
      </c>
      <c r="C5" s="8" t="s">
        <v>40</v>
      </c>
      <c r="D5" s="5">
        <v>1191</v>
      </c>
      <c r="E5" s="9">
        <v>10493049722</v>
      </c>
      <c r="F5" s="5">
        <v>2649</v>
      </c>
      <c r="G5" s="9">
        <v>61740169166</v>
      </c>
      <c r="H5" s="11">
        <f t="shared" si="1"/>
        <v>1.2241813602015112</v>
      </c>
      <c r="I5" s="11">
        <f t="shared" si="0"/>
        <v>4.8839108554450057</v>
      </c>
    </row>
    <row r="6" spans="1:20" ht="15" customHeight="1" x14ac:dyDescent="0.35">
      <c r="A6" s="8">
        <v>5</v>
      </c>
      <c r="B6" s="7" t="s">
        <v>39</v>
      </c>
      <c r="C6" s="8" t="s">
        <v>38</v>
      </c>
      <c r="D6" s="5">
        <v>2461</v>
      </c>
      <c r="E6" s="9">
        <v>83326909584</v>
      </c>
      <c r="F6" s="5">
        <v>4984</v>
      </c>
      <c r="G6" s="9">
        <v>151748276957</v>
      </c>
      <c r="H6" s="11">
        <f t="shared" si="1"/>
        <v>1.02519301097115</v>
      </c>
      <c r="I6" s="11">
        <f t="shared" si="0"/>
        <v>0.82111970448185101</v>
      </c>
    </row>
    <row r="7" spans="1:20" ht="15" customHeight="1" x14ac:dyDescent="0.35">
      <c r="A7" s="8">
        <v>6</v>
      </c>
      <c r="B7" s="7" t="s">
        <v>37</v>
      </c>
      <c r="C7" s="8" t="s">
        <v>36</v>
      </c>
      <c r="D7" s="5">
        <v>4047</v>
      </c>
      <c r="E7" s="9">
        <v>168041422166</v>
      </c>
      <c r="F7" s="5">
        <v>5900</v>
      </c>
      <c r="G7" s="9">
        <v>306084579351</v>
      </c>
      <c r="H7" s="11">
        <f t="shared" si="1"/>
        <v>0.45787002718062764</v>
      </c>
      <c r="I7" s="11">
        <f t="shared" si="0"/>
        <v>0.82148291418668096</v>
      </c>
    </row>
    <row r="8" spans="1:20" ht="15" customHeight="1" x14ac:dyDescent="0.35">
      <c r="A8" s="8">
        <v>7</v>
      </c>
      <c r="B8" s="7" t="s">
        <v>35</v>
      </c>
      <c r="C8" s="8" t="s">
        <v>34</v>
      </c>
      <c r="D8" s="5">
        <v>3690</v>
      </c>
      <c r="E8" s="9">
        <v>190525253038</v>
      </c>
      <c r="F8" s="5">
        <v>3578</v>
      </c>
      <c r="G8" s="9">
        <v>75922709396</v>
      </c>
      <c r="H8" s="11">
        <f t="shared" si="1"/>
        <v>-3.035230352303523E-2</v>
      </c>
      <c r="I8" s="11">
        <f t="shared" si="0"/>
        <v>-0.60150841851469783</v>
      </c>
    </row>
    <row r="9" spans="1:20" ht="15" customHeight="1" x14ac:dyDescent="0.35">
      <c r="A9" s="8">
        <v>8</v>
      </c>
      <c r="B9" s="7" t="s">
        <v>33</v>
      </c>
      <c r="C9" s="8" t="s">
        <v>32</v>
      </c>
      <c r="D9" s="5">
        <v>10449</v>
      </c>
      <c r="E9" s="9">
        <v>200723765576</v>
      </c>
      <c r="F9" s="5">
        <v>18628</v>
      </c>
      <c r="G9" s="9">
        <v>364392949918</v>
      </c>
      <c r="H9" s="11">
        <f t="shared" si="1"/>
        <v>0.78275433055794807</v>
      </c>
      <c r="I9" s="11">
        <f t="shared" si="0"/>
        <v>0.81539514701875182</v>
      </c>
    </row>
    <row r="10" spans="1:20" ht="15" customHeight="1" x14ac:dyDescent="0.35">
      <c r="A10" s="8">
        <v>9</v>
      </c>
      <c r="B10" s="7" t="s">
        <v>31</v>
      </c>
      <c r="C10" s="8" t="s">
        <v>30</v>
      </c>
      <c r="D10" s="5">
        <v>1532</v>
      </c>
      <c r="E10" s="9">
        <v>67509479599</v>
      </c>
      <c r="F10" s="5">
        <v>2380</v>
      </c>
      <c r="G10" s="9">
        <v>135491540552</v>
      </c>
      <c r="H10" s="11">
        <f t="shared" si="1"/>
        <v>0.55352480417754568</v>
      </c>
      <c r="I10" s="11">
        <f t="shared" si="0"/>
        <v>1.0070002221437211</v>
      </c>
    </row>
    <row r="11" spans="1:20" ht="15" customHeight="1" x14ac:dyDescent="0.35">
      <c r="A11" s="8">
        <v>10</v>
      </c>
      <c r="B11" s="7" t="s">
        <v>29</v>
      </c>
      <c r="C11" s="8" t="s">
        <v>28</v>
      </c>
      <c r="D11" s="5">
        <v>31593</v>
      </c>
      <c r="E11" s="9">
        <v>865731064775</v>
      </c>
      <c r="F11" s="5">
        <v>46401</v>
      </c>
      <c r="G11" s="9">
        <v>1870259578668</v>
      </c>
      <c r="H11" s="11">
        <f t="shared" si="1"/>
        <v>0.46871142341657962</v>
      </c>
      <c r="I11" s="11">
        <f t="shared" si="0"/>
        <v>1.1603239790801234</v>
      </c>
    </row>
    <row r="12" spans="1:20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11">
        <v>0</v>
      </c>
      <c r="I12" s="11">
        <v>0</v>
      </c>
    </row>
    <row r="13" spans="1:20" ht="15" customHeight="1" x14ac:dyDescent="0.35">
      <c r="A13" s="8">
        <v>12</v>
      </c>
      <c r="B13" s="7" t="s">
        <v>25</v>
      </c>
      <c r="C13" s="8" t="s">
        <v>24</v>
      </c>
      <c r="D13" s="5">
        <v>2210</v>
      </c>
      <c r="E13" s="9">
        <v>88566749807</v>
      </c>
      <c r="F13" s="5">
        <v>9292</v>
      </c>
      <c r="G13" s="9">
        <v>1526655358180</v>
      </c>
      <c r="H13" s="11">
        <f t="shared" ref="H13:I19" si="2">(F13-D13)/D13</f>
        <v>3.2045248868778282</v>
      </c>
      <c r="I13" s="11">
        <f t="shared" si="2"/>
        <v>16.23734202177236</v>
      </c>
    </row>
    <row r="14" spans="1:20" ht="15" customHeight="1" x14ac:dyDescent="0.35">
      <c r="A14" s="8">
        <v>13</v>
      </c>
      <c r="B14" s="7" t="s">
        <v>23</v>
      </c>
      <c r="C14" s="8" t="s">
        <v>22</v>
      </c>
      <c r="D14" s="5">
        <v>1420</v>
      </c>
      <c r="E14" s="9">
        <v>40823415684</v>
      </c>
      <c r="F14" s="5">
        <v>1566</v>
      </c>
      <c r="G14" s="9">
        <v>70814774342</v>
      </c>
      <c r="H14" s="11">
        <f t="shared" si="2"/>
        <v>0.10281690140845071</v>
      </c>
      <c r="I14" s="11">
        <f t="shared" si="2"/>
        <v>0.73466068812450136</v>
      </c>
    </row>
    <row r="15" spans="1:20" ht="15" customHeight="1" x14ac:dyDescent="0.35">
      <c r="A15" s="8">
        <v>14</v>
      </c>
      <c r="B15" s="7" t="s">
        <v>21</v>
      </c>
      <c r="C15" s="8" t="s">
        <v>20</v>
      </c>
      <c r="D15" s="5">
        <v>628</v>
      </c>
      <c r="E15" s="9">
        <v>5666140209</v>
      </c>
      <c r="F15" s="5">
        <v>725</v>
      </c>
      <c r="G15" s="9">
        <v>5487179988</v>
      </c>
      <c r="H15" s="11">
        <f t="shared" si="2"/>
        <v>0.15445859872611464</v>
      </c>
      <c r="I15" s="11">
        <f t="shared" si="2"/>
        <v>-3.1584149773728268E-2</v>
      </c>
      <c r="T15" s="1" t="s">
        <v>53</v>
      </c>
    </row>
    <row r="16" spans="1:20" ht="15" customHeight="1" x14ac:dyDescent="0.35">
      <c r="A16" s="8">
        <v>15</v>
      </c>
      <c r="B16" s="7" t="s">
        <v>19</v>
      </c>
      <c r="C16" s="8" t="s">
        <v>18</v>
      </c>
      <c r="D16" s="5">
        <v>34784</v>
      </c>
      <c r="E16" s="9">
        <v>898766470159</v>
      </c>
      <c r="F16" s="5">
        <v>29938</v>
      </c>
      <c r="G16" s="9">
        <v>949444146820</v>
      </c>
      <c r="H16" s="11">
        <f t="shared" si="2"/>
        <v>-0.1393169273229071</v>
      </c>
      <c r="I16" s="11">
        <f t="shared" si="2"/>
        <v>5.6385811379940171E-2</v>
      </c>
    </row>
    <row r="17" spans="1:20" ht="15" customHeight="1" x14ac:dyDescent="0.35">
      <c r="A17" s="8">
        <v>16</v>
      </c>
      <c r="B17" s="7" t="s">
        <v>17</v>
      </c>
      <c r="C17" s="8" t="s">
        <v>16</v>
      </c>
      <c r="D17" s="5">
        <v>746</v>
      </c>
      <c r="E17" s="9">
        <v>52131597253</v>
      </c>
      <c r="F17" s="5">
        <v>1430</v>
      </c>
      <c r="G17" s="9">
        <v>192409455197</v>
      </c>
      <c r="H17" s="11">
        <f t="shared" si="2"/>
        <v>0.91689008042895437</v>
      </c>
      <c r="I17" s="11">
        <f t="shared" si="2"/>
        <v>2.6908413579429982</v>
      </c>
    </row>
    <row r="18" spans="1:20" ht="15" customHeight="1" x14ac:dyDescent="0.35">
      <c r="A18" s="8">
        <v>17</v>
      </c>
      <c r="B18" s="7" t="s">
        <v>15</v>
      </c>
      <c r="C18" s="8" t="s">
        <v>14</v>
      </c>
      <c r="D18" s="5">
        <v>1492</v>
      </c>
      <c r="E18" s="9">
        <v>124695938498</v>
      </c>
      <c r="F18" s="5">
        <v>2928</v>
      </c>
      <c r="G18" s="9">
        <v>210064542814</v>
      </c>
      <c r="H18" s="11">
        <f t="shared" si="2"/>
        <v>0.96246648793565681</v>
      </c>
      <c r="I18" s="11">
        <f t="shared" si="2"/>
        <v>0.68461415298918682</v>
      </c>
    </row>
    <row r="19" spans="1:20" ht="15" customHeight="1" x14ac:dyDescent="0.35">
      <c r="A19" s="8">
        <v>18</v>
      </c>
      <c r="B19" s="7" t="s">
        <v>13</v>
      </c>
      <c r="C19" s="8" t="s">
        <v>12</v>
      </c>
      <c r="D19" s="5">
        <v>151</v>
      </c>
      <c r="E19" s="9">
        <v>4238204400</v>
      </c>
      <c r="F19" s="5">
        <v>136</v>
      </c>
      <c r="G19" s="9">
        <v>6631560865</v>
      </c>
      <c r="H19" s="11">
        <f>(F19-D19)/D19</f>
        <v>-9.9337748344370855E-2</v>
      </c>
      <c r="I19" s="11">
        <f t="shared" si="2"/>
        <v>0.56471001375016272</v>
      </c>
    </row>
    <row r="20" spans="1:20" ht="15" customHeight="1" x14ac:dyDescent="0.35">
      <c r="A20" s="8">
        <v>19</v>
      </c>
      <c r="B20" s="7" t="s">
        <v>11</v>
      </c>
      <c r="C20" s="8" t="s">
        <v>10</v>
      </c>
      <c r="D20" s="5">
        <v>31</v>
      </c>
      <c r="E20" s="9">
        <v>2480896658</v>
      </c>
      <c r="F20" s="5">
        <v>24</v>
      </c>
      <c r="G20" s="9">
        <v>3002884043</v>
      </c>
      <c r="H20" s="11">
        <v>0</v>
      </c>
      <c r="I20" s="11">
        <v>0</v>
      </c>
      <c r="R20" s="1" t="s">
        <v>3</v>
      </c>
      <c r="T20" s="1" t="s">
        <v>3</v>
      </c>
    </row>
    <row r="21" spans="1:20" x14ac:dyDescent="0.35">
      <c r="A21" s="8">
        <v>20</v>
      </c>
      <c r="B21" s="7" t="s">
        <v>9</v>
      </c>
      <c r="C21" s="8" t="s">
        <v>8</v>
      </c>
      <c r="D21" s="5">
        <v>772</v>
      </c>
      <c r="E21" s="5">
        <v>56713459852</v>
      </c>
      <c r="F21" s="5">
        <v>996</v>
      </c>
      <c r="G21" s="5">
        <v>90508594593</v>
      </c>
      <c r="H21" s="11">
        <f>(F21-D21)/D21</f>
        <v>0.29015544041450775</v>
      </c>
      <c r="I21" s="11">
        <f>(G21-E21)/E21</f>
        <v>0.59589266514848704</v>
      </c>
    </row>
    <row r="22" spans="1:20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>
        <v>16</v>
      </c>
      <c r="G22" s="9">
        <v>4777705474</v>
      </c>
      <c r="H22" s="11">
        <v>0</v>
      </c>
      <c r="I22" s="11">
        <v>0</v>
      </c>
    </row>
    <row r="23" spans="1:20" x14ac:dyDescent="0.35">
      <c r="A23" s="8">
        <v>22</v>
      </c>
      <c r="B23" s="7" t="s">
        <v>5</v>
      </c>
      <c r="C23" s="8" t="s">
        <v>4</v>
      </c>
      <c r="D23" s="5">
        <v>4594</v>
      </c>
      <c r="E23" s="5">
        <v>32484195954</v>
      </c>
      <c r="F23" s="5">
        <v>2577</v>
      </c>
      <c r="G23" s="5">
        <v>43546550362</v>
      </c>
      <c r="H23" s="11">
        <f t="shared" ref="H23:I25" si="3">(F23-D23)/D23</f>
        <v>-0.43905093600348283</v>
      </c>
      <c r="I23" s="11">
        <f t="shared" si="3"/>
        <v>0.34054573564526897</v>
      </c>
    </row>
    <row r="24" spans="1:20" ht="26.25" customHeight="1" x14ac:dyDescent="0.35">
      <c r="A24" s="8">
        <v>23</v>
      </c>
      <c r="B24" s="7" t="s">
        <v>2</v>
      </c>
      <c r="C24" s="6" t="s">
        <v>1</v>
      </c>
      <c r="D24" s="5">
        <v>20</v>
      </c>
      <c r="E24" s="5">
        <v>688926453</v>
      </c>
      <c r="F24" s="5">
        <v>26</v>
      </c>
      <c r="G24" s="5">
        <v>385421539</v>
      </c>
      <c r="H24" s="11">
        <f t="shared" si="3"/>
        <v>0.3</v>
      </c>
      <c r="I24" s="11">
        <f t="shared" si="3"/>
        <v>-0.44054762693224669</v>
      </c>
    </row>
    <row r="25" spans="1:20" x14ac:dyDescent="0.35">
      <c r="A25" s="32" t="s">
        <v>0</v>
      </c>
      <c r="B25" s="33"/>
      <c r="C25" s="34"/>
      <c r="D25" s="2">
        <f>SUM(D2:D24)</f>
        <v>126457</v>
      </c>
      <c r="E25" s="2">
        <f>SUM(E2:E24)</f>
        <v>3328645620202</v>
      </c>
      <c r="F25" s="2">
        <f>SUM(F2:F24)</f>
        <v>177882</v>
      </c>
      <c r="G25" s="2">
        <f>SUM(G2:G24)</f>
        <v>6871161678608</v>
      </c>
      <c r="H25" s="10">
        <f t="shared" si="3"/>
        <v>0.40665997137366849</v>
      </c>
      <c r="I25" s="10">
        <f t="shared" si="3"/>
        <v>1.0642514892261259</v>
      </c>
    </row>
    <row r="26" spans="1:20" ht="18" customHeight="1" x14ac:dyDescent="0.35"/>
    <row r="27" spans="1:20" ht="13.5" customHeight="1" x14ac:dyDescent="0.35">
      <c r="E27" s="4"/>
      <c r="G27" s="4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0C67-8E92-467F-B2C9-5D2723431A0C}">
  <dimension ref="A1:R27"/>
  <sheetViews>
    <sheetView topLeftCell="C1" zoomScale="90" zoomScaleNormal="90" workbookViewId="0">
      <selection activeCell="C1" sqref="C1"/>
    </sheetView>
  </sheetViews>
  <sheetFormatPr baseColWidth="10" defaultColWidth="6.81640625" defaultRowHeight="15.5" x14ac:dyDescent="0.35"/>
  <cols>
    <col min="1" max="1" width="4.1796875" style="1" customWidth="1"/>
    <col min="2" max="2" width="8.453125" style="1" customWidth="1"/>
    <col min="3" max="3" width="56.81640625" style="1" bestFit="1" customWidth="1"/>
    <col min="4" max="4" width="24.81640625" style="1" customWidth="1"/>
    <col min="5" max="5" width="28.36328125" style="1" customWidth="1"/>
    <col min="6" max="6" width="26.90625" style="1" customWidth="1"/>
    <col min="7" max="7" width="29" style="1" customWidth="1"/>
    <col min="8" max="8" width="9.54296875" style="1" bestFit="1" customWidth="1"/>
    <col min="9" max="9" width="11.453125" style="12" customWidth="1"/>
    <col min="10" max="10" width="6.81640625" style="1"/>
    <col min="11" max="11" width="9.54296875" style="1" bestFit="1" customWidth="1"/>
    <col min="12" max="12" width="12" style="1" bestFit="1" customWidth="1"/>
    <col min="13" max="16384" width="6.81640625" style="1"/>
  </cols>
  <sheetData>
    <row r="1" spans="1:9" s="15" customFormat="1" ht="48" customHeight="1" x14ac:dyDescent="0.35">
      <c r="A1" s="19" t="s">
        <v>52</v>
      </c>
      <c r="B1" s="19" t="s">
        <v>51</v>
      </c>
      <c r="C1" s="19" t="s">
        <v>50</v>
      </c>
      <c r="D1" s="19" t="s">
        <v>54</v>
      </c>
      <c r="E1" s="19" t="s">
        <v>55</v>
      </c>
      <c r="F1" s="19" t="s">
        <v>56</v>
      </c>
      <c r="G1" s="19" t="s">
        <v>57</v>
      </c>
      <c r="H1" s="19" t="s">
        <v>49</v>
      </c>
      <c r="I1" s="31" t="s">
        <v>48</v>
      </c>
    </row>
    <row r="2" spans="1:9" ht="15" customHeight="1" x14ac:dyDescent="0.35">
      <c r="A2" s="8">
        <v>1</v>
      </c>
      <c r="B2" s="8" t="s">
        <v>47</v>
      </c>
      <c r="C2" s="8" t="s">
        <v>46</v>
      </c>
      <c r="D2" s="5">
        <v>2090</v>
      </c>
      <c r="E2" s="9">
        <v>244996017950</v>
      </c>
      <c r="F2" s="5">
        <v>2157</v>
      </c>
      <c r="G2" s="9">
        <v>162928492808</v>
      </c>
      <c r="H2" s="11">
        <f t="shared" ref="H2:H11" si="0">(F2-D2)/D2</f>
        <v>3.2057416267942583E-2</v>
      </c>
      <c r="I2" s="11">
        <f t="shared" ref="I2:I11" si="1">(G2-E2)/E2</f>
        <v>-0.33497493481199658</v>
      </c>
    </row>
    <row r="3" spans="1:9" ht="15" customHeight="1" x14ac:dyDescent="0.35">
      <c r="A3" s="8">
        <v>2</v>
      </c>
      <c r="B3" s="7" t="s">
        <v>45</v>
      </c>
      <c r="C3" s="8" t="s">
        <v>44</v>
      </c>
      <c r="D3" s="5">
        <v>3704</v>
      </c>
      <c r="E3" s="9">
        <v>588261444492</v>
      </c>
      <c r="F3" s="5">
        <v>7845</v>
      </c>
      <c r="G3" s="9">
        <v>1871574869281</v>
      </c>
      <c r="H3" s="11">
        <f t="shared" si="0"/>
        <v>1.1179805615550755</v>
      </c>
      <c r="I3" s="11">
        <f t="shared" si="1"/>
        <v>2.1815358405771779</v>
      </c>
    </row>
    <row r="4" spans="1:9" x14ac:dyDescent="0.35">
      <c r="A4" s="8">
        <v>3</v>
      </c>
      <c r="B4" s="7" t="s">
        <v>43</v>
      </c>
      <c r="C4" s="6" t="s">
        <v>42</v>
      </c>
      <c r="D4" s="5">
        <v>6840</v>
      </c>
      <c r="E4" s="9">
        <v>1241707996029</v>
      </c>
      <c r="F4" s="5">
        <v>11254</v>
      </c>
      <c r="G4" s="9">
        <v>1915110759009</v>
      </c>
      <c r="H4" s="11">
        <f t="shared" si="0"/>
        <v>0.64532163742690063</v>
      </c>
      <c r="I4" s="11">
        <f t="shared" si="1"/>
        <v>0.54231974436304808</v>
      </c>
    </row>
    <row r="5" spans="1:9" ht="15" customHeight="1" x14ac:dyDescent="0.35">
      <c r="A5" s="8">
        <v>4</v>
      </c>
      <c r="B5" s="7" t="s">
        <v>41</v>
      </c>
      <c r="C5" s="8" t="s">
        <v>40</v>
      </c>
      <c r="D5" s="5">
        <v>1808</v>
      </c>
      <c r="E5" s="9">
        <v>257533807758</v>
      </c>
      <c r="F5" s="5">
        <v>3780</v>
      </c>
      <c r="G5" s="9">
        <v>807491786446</v>
      </c>
      <c r="H5" s="11">
        <f t="shared" si="0"/>
        <v>1.0907079646017699</v>
      </c>
      <c r="I5" s="11">
        <f t="shared" si="1"/>
        <v>2.1354787686934906</v>
      </c>
    </row>
    <row r="6" spans="1:9" ht="15" customHeight="1" x14ac:dyDescent="0.35">
      <c r="A6" s="8">
        <v>5</v>
      </c>
      <c r="B6" s="7" t="s">
        <v>39</v>
      </c>
      <c r="C6" s="8" t="s">
        <v>38</v>
      </c>
      <c r="D6" s="5">
        <v>3450</v>
      </c>
      <c r="E6" s="9">
        <v>676518908250</v>
      </c>
      <c r="F6" s="5">
        <v>5874</v>
      </c>
      <c r="G6" s="9">
        <v>1148478219096</v>
      </c>
      <c r="H6" s="11">
        <f t="shared" si="0"/>
        <v>0.70260869565217388</v>
      </c>
      <c r="I6" s="11">
        <f t="shared" si="1"/>
        <v>0.69762914988858338</v>
      </c>
    </row>
    <row r="7" spans="1:9" ht="15" customHeight="1" x14ac:dyDescent="0.35">
      <c r="A7" s="8">
        <v>6</v>
      </c>
      <c r="B7" s="7" t="s">
        <v>37</v>
      </c>
      <c r="C7" s="8" t="s">
        <v>36</v>
      </c>
      <c r="D7" s="5">
        <v>7509</v>
      </c>
      <c r="E7" s="9">
        <v>1088989531809</v>
      </c>
      <c r="F7" s="5">
        <v>12630</v>
      </c>
      <c r="G7" s="9">
        <v>1865304345440</v>
      </c>
      <c r="H7" s="11">
        <f t="shared" si="0"/>
        <v>0.68198162205353574</v>
      </c>
      <c r="I7" s="11">
        <f t="shared" si="1"/>
        <v>0.71287628664474556</v>
      </c>
    </row>
    <row r="8" spans="1:9" ht="15" customHeight="1" x14ac:dyDescent="0.35">
      <c r="A8" s="8">
        <v>7</v>
      </c>
      <c r="B8" s="7" t="s">
        <v>35</v>
      </c>
      <c r="C8" s="8" t="s">
        <v>34</v>
      </c>
      <c r="D8" s="5">
        <v>4088</v>
      </c>
      <c r="E8" s="9">
        <v>467076925809</v>
      </c>
      <c r="F8" s="5">
        <v>8732</v>
      </c>
      <c r="G8" s="9">
        <v>933751264922</v>
      </c>
      <c r="H8" s="11">
        <f t="shared" si="0"/>
        <v>1.1360078277886496</v>
      </c>
      <c r="I8" s="11">
        <f t="shared" si="1"/>
        <v>0.99913807196683346</v>
      </c>
    </row>
    <row r="9" spans="1:9" ht="15" customHeight="1" x14ac:dyDescent="0.35">
      <c r="A9" s="8">
        <v>8</v>
      </c>
      <c r="B9" s="7" t="s">
        <v>33</v>
      </c>
      <c r="C9" s="8" t="s">
        <v>32</v>
      </c>
      <c r="D9" s="5">
        <v>5768</v>
      </c>
      <c r="E9" s="9">
        <v>630717503539</v>
      </c>
      <c r="F9" s="5">
        <v>10141</v>
      </c>
      <c r="G9" s="9">
        <v>1763680740537</v>
      </c>
      <c r="H9" s="11">
        <f t="shared" si="0"/>
        <v>0.75814840499306524</v>
      </c>
      <c r="I9" s="11">
        <f t="shared" si="1"/>
        <v>1.7963085385150468</v>
      </c>
    </row>
    <row r="10" spans="1:9" ht="15" customHeight="1" x14ac:dyDescent="0.35">
      <c r="A10" s="8">
        <v>9</v>
      </c>
      <c r="B10" s="7" t="s">
        <v>31</v>
      </c>
      <c r="C10" s="8" t="s">
        <v>30</v>
      </c>
      <c r="D10" s="5">
        <v>3596</v>
      </c>
      <c r="E10" s="9">
        <v>592323448550</v>
      </c>
      <c r="F10" s="5">
        <v>7432</v>
      </c>
      <c r="G10" s="9">
        <v>1299689500900</v>
      </c>
      <c r="H10" s="11">
        <f t="shared" si="0"/>
        <v>1.0667408231368187</v>
      </c>
      <c r="I10" s="11">
        <f t="shared" si="1"/>
        <v>1.1942226060467853</v>
      </c>
    </row>
    <row r="11" spans="1:9" ht="15" customHeight="1" x14ac:dyDescent="0.35">
      <c r="A11" s="8">
        <v>10</v>
      </c>
      <c r="B11" s="7" t="s">
        <v>29</v>
      </c>
      <c r="C11" s="8" t="s">
        <v>28</v>
      </c>
      <c r="D11" s="5">
        <v>12958</v>
      </c>
      <c r="E11" s="9">
        <v>2597274525374</v>
      </c>
      <c r="F11" s="5">
        <v>29393</v>
      </c>
      <c r="G11" s="9">
        <v>8008409670172</v>
      </c>
      <c r="H11" s="11">
        <f t="shared" si="0"/>
        <v>1.2683284457478006</v>
      </c>
      <c r="I11" s="11">
        <f t="shared" si="1"/>
        <v>2.0833897579690048</v>
      </c>
    </row>
    <row r="12" spans="1:9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11">
        <v>0</v>
      </c>
      <c r="I12" s="11">
        <v>0</v>
      </c>
    </row>
    <row r="13" spans="1:9" ht="15" customHeight="1" x14ac:dyDescent="0.35">
      <c r="A13" s="8">
        <v>12</v>
      </c>
      <c r="B13" s="7" t="s">
        <v>25</v>
      </c>
      <c r="C13" s="8" t="s">
        <v>24</v>
      </c>
      <c r="D13" s="5">
        <v>5204</v>
      </c>
      <c r="E13" s="9">
        <v>1071667453031</v>
      </c>
      <c r="F13" s="5">
        <v>9522</v>
      </c>
      <c r="G13" s="9">
        <v>2463607037014</v>
      </c>
      <c r="H13" s="11">
        <f t="shared" ref="H13:I19" si="2">(F13-D13)/D13</f>
        <v>0.82974634896233668</v>
      </c>
      <c r="I13" s="11">
        <f t="shared" si="2"/>
        <v>1.2988540242088844</v>
      </c>
    </row>
    <row r="14" spans="1:9" ht="15" customHeight="1" x14ac:dyDescent="0.35">
      <c r="A14" s="8">
        <v>13</v>
      </c>
      <c r="B14" s="7" t="s">
        <v>23</v>
      </c>
      <c r="C14" s="8" t="s">
        <v>22</v>
      </c>
      <c r="D14" s="5">
        <v>2705</v>
      </c>
      <c r="E14" s="9">
        <v>477284113488</v>
      </c>
      <c r="F14" s="5">
        <v>4307</v>
      </c>
      <c r="G14" s="9">
        <v>586260535255</v>
      </c>
      <c r="H14" s="11">
        <f t="shared" si="2"/>
        <v>0.59223659889094271</v>
      </c>
      <c r="I14" s="11">
        <f t="shared" si="2"/>
        <v>0.22832610323146638</v>
      </c>
    </row>
    <row r="15" spans="1:9" ht="15" customHeight="1" x14ac:dyDescent="0.35">
      <c r="A15" s="8">
        <v>14</v>
      </c>
      <c r="B15" s="7" t="s">
        <v>21</v>
      </c>
      <c r="C15" s="8" t="s">
        <v>20</v>
      </c>
      <c r="D15" s="5">
        <v>928</v>
      </c>
      <c r="E15" s="9">
        <v>494635818917</v>
      </c>
      <c r="F15" s="5">
        <v>3062</v>
      </c>
      <c r="G15" s="9">
        <v>598984435469</v>
      </c>
      <c r="H15" s="11">
        <f t="shared" si="2"/>
        <v>2.2995689655172415</v>
      </c>
      <c r="I15" s="11">
        <f t="shared" si="2"/>
        <v>0.21096049368294884</v>
      </c>
    </row>
    <row r="16" spans="1:9" ht="15" customHeight="1" x14ac:dyDescent="0.35">
      <c r="A16" s="8">
        <v>15</v>
      </c>
      <c r="B16" s="7" t="s">
        <v>19</v>
      </c>
      <c r="C16" s="8" t="s">
        <v>18</v>
      </c>
      <c r="D16" s="5">
        <v>10536</v>
      </c>
      <c r="E16" s="9">
        <v>2278411978438</v>
      </c>
      <c r="F16" s="5">
        <v>12471</v>
      </c>
      <c r="G16" s="9">
        <v>3423520686106</v>
      </c>
      <c r="H16" s="11">
        <f t="shared" si="2"/>
        <v>0.18365603644646925</v>
      </c>
      <c r="I16" s="11">
        <f t="shared" si="2"/>
        <v>0.50259071603593253</v>
      </c>
    </row>
    <row r="17" spans="1:18" ht="15" customHeight="1" x14ac:dyDescent="0.35">
      <c r="A17" s="8">
        <v>16</v>
      </c>
      <c r="B17" s="7" t="s">
        <v>17</v>
      </c>
      <c r="C17" s="8" t="s">
        <v>16</v>
      </c>
      <c r="D17" s="5">
        <v>3160</v>
      </c>
      <c r="E17" s="9">
        <v>1120408677260</v>
      </c>
      <c r="F17" s="5">
        <v>7052</v>
      </c>
      <c r="G17" s="9">
        <v>2251701135905</v>
      </c>
      <c r="H17" s="11">
        <f t="shared" si="2"/>
        <v>1.2316455696202531</v>
      </c>
      <c r="I17" s="11">
        <f t="shared" si="2"/>
        <v>1.0097141173626187</v>
      </c>
      <c r="Q17" s="1" t="s">
        <v>3</v>
      </c>
    </row>
    <row r="18" spans="1:18" ht="15" customHeight="1" x14ac:dyDescent="0.35">
      <c r="A18" s="8">
        <v>17</v>
      </c>
      <c r="B18" s="7" t="s">
        <v>15</v>
      </c>
      <c r="C18" s="8" t="s">
        <v>14</v>
      </c>
      <c r="D18" s="5">
        <v>6506</v>
      </c>
      <c r="E18" s="9">
        <v>1075932764842</v>
      </c>
      <c r="F18" s="5">
        <v>11460</v>
      </c>
      <c r="G18" s="9">
        <v>2301044809455</v>
      </c>
      <c r="H18" s="11">
        <f t="shared" si="2"/>
        <v>0.76145096833691972</v>
      </c>
      <c r="I18" s="11">
        <f t="shared" si="2"/>
        <v>1.1386511171010829</v>
      </c>
    </row>
    <row r="19" spans="1:18" ht="15" customHeight="1" x14ac:dyDescent="0.35">
      <c r="A19" s="8">
        <v>18</v>
      </c>
      <c r="B19" s="7" t="s">
        <v>13</v>
      </c>
      <c r="C19" s="8" t="s">
        <v>12</v>
      </c>
      <c r="D19" s="5">
        <v>1809</v>
      </c>
      <c r="E19" s="9">
        <v>315603425768</v>
      </c>
      <c r="F19" s="5">
        <v>4081</v>
      </c>
      <c r="G19" s="9">
        <v>1164511973726</v>
      </c>
      <c r="H19" s="11">
        <f t="shared" si="2"/>
        <v>1.255942509673853</v>
      </c>
      <c r="I19" s="11">
        <f t="shared" si="2"/>
        <v>2.6897950993156599</v>
      </c>
      <c r="R19" s="1" t="s">
        <v>3</v>
      </c>
    </row>
    <row r="20" spans="1:18" ht="15" customHeight="1" x14ac:dyDescent="0.35">
      <c r="A20" s="8">
        <v>19</v>
      </c>
      <c r="B20" s="7" t="s">
        <v>11</v>
      </c>
      <c r="C20" s="8" t="s">
        <v>10</v>
      </c>
      <c r="D20" s="5">
        <v>36</v>
      </c>
      <c r="E20" s="9">
        <v>29075976583</v>
      </c>
      <c r="F20" s="5">
        <v>62</v>
      </c>
      <c r="G20" s="9">
        <v>92662521803</v>
      </c>
      <c r="H20" s="11">
        <v>0</v>
      </c>
      <c r="I20" s="11">
        <v>0</v>
      </c>
    </row>
    <row r="21" spans="1:18" x14ac:dyDescent="0.35">
      <c r="A21" s="8">
        <v>20</v>
      </c>
      <c r="B21" s="7" t="s">
        <v>9</v>
      </c>
      <c r="C21" s="8" t="s">
        <v>8</v>
      </c>
      <c r="D21" s="5">
        <v>1522</v>
      </c>
      <c r="E21" s="5">
        <v>616533107764</v>
      </c>
      <c r="F21" s="5">
        <v>3944</v>
      </c>
      <c r="G21" s="5">
        <v>739583246541</v>
      </c>
      <c r="H21" s="11">
        <f>(F21-D21)/D21</f>
        <v>1.5913272010512483</v>
      </c>
      <c r="I21" s="11">
        <f>(G21-E21)/E21</f>
        <v>0.19958399188531789</v>
      </c>
    </row>
    <row r="22" spans="1:18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11">
        <v>0</v>
      </c>
      <c r="I22" s="11">
        <v>0</v>
      </c>
      <c r="R22" s="1" t="s">
        <v>3</v>
      </c>
    </row>
    <row r="23" spans="1:18" x14ac:dyDescent="0.35">
      <c r="A23" s="8">
        <v>22</v>
      </c>
      <c r="B23" s="7" t="s">
        <v>5</v>
      </c>
      <c r="C23" s="8" t="s">
        <v>4</v>
      </c>
      <c r="D23" s="5">
        <v>1666</v>
      </c>
      <c r="E23" s="5">
        <v>513186919792</v>
      </c>
      <c r="F23" s="5">
        <v>4482</v>
      </c>
      <c r="G23" s="5">
        <v>935589964300</v>
      </c>
      <c r="H23" s="11">
        <f t="shared" ref="H23:I25" si="3">(F23-D23)/D23</f>
        <v>1.6902761104441777</v>
      </c>
      <c r="I23" s="11">
        <f t="shared" si="3"/>
        <v>0.8230978386573149</v>
      </c>
    </row>
    <row r="24" spans="1:18" ht="26.25" customHeight="1" x14ac:dyDescent="0.35">
      <c r="A24" s="8">
        <v>23</v>
      </c>
      <c r="B24" s="7" t="s">
        <v>2</v>
      </c>
      <c r="C24" s="6" t="s">
        <v>1</v>
      </c>
      <c r="D24" s="5">
        <v>139</v>
      </c>
      <c r="E24" s="5">
        <v>35332255736</v>
      </c>
      <c r="F24" s="5">
        <v>248</v>
      </c>
      <c r="G24" s="5">
        <v>32426879333</v>
      </c>
      <c r="H24" s="11">
        <f t="shared" si="3"/>
        <v>0.78417266187050361</v>
      </c>
      <c r="I24" s="11">
        <f t="shared" si="3"/>
        <v>-8.2230141905140663E-2</v>
      </c>
    </row>
    <row r="25" spans="1:18" x14ac:dyDescent="0.35">
      <c r="A25" s="32" t="s">
        <v>0</v>
      </c>
      <c r="B25" s="33"/>
      <c r="C25" s="34"/>
      <c r="D25" s="2">
        <f>SUM(D2:D24)</f>
        <v>86022</v>
      </c>
      <c r="E25" s="2">
        <f>SUM(E2:E24)</f>
        <v>16413472601179</v>
      </c>
      <c r="F25" s="2">
        <f>SUM(F2:F24)</f>
        <v>159929</v>
      </c>
      <c r="G25" s="2">
        <f>SUM(G2:G24)</f>
        <v>34366312873518</v>
      </c>
      <c r="H25" s="10">
        <f t="shared" si="3"/>
        <v>0.85916393480737485</v>
      </c>
      <c r="I25" s="10">
        <f t="shared" si="3"/>
        <v>1.093786836494882</v>
      </c>
    </row>
    <row r="26" spans="1:18" ht="18" customHeight="1" x14ac:dyDescent="0.35"/>
    <row r="27" spans="1:18" ht="13.5" customHeight="1" x14ac:dyDescent="0.35">
      <c r="D27" s="3"/>
      <c r="F27" s="3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1469-8808-4880-902D-88D86ED175E5}">
  <dimension ref="A1:I25"/>
  <sheetViews>
    <sheetView zoomScale="80" zoomScaleNormal="80" workbookViewId="0">
      <selection activeCell="E1" sqref="E1"/>
    </sheetView>
  </sheetViews>
  <sheetFormatPr baseColWidth="10" defaultRowHeight="12.5" x14ac:dyDescent="0.35"/>
  <cols>
    <col min="1" max="1" width="3.7265625" style="13" bestFit="1" customWidth="1"/>
    <col min="2" max="2" width="6" style="13" bestFit="1" customWidth="1"/>
    <col min="3" max="3" width="56.81640625" style="13" bestFit="1" customWidth="1"/>
    <col min="4" max="4" width="23.453125" style="13" customWidth="1"/>
    <col min="5" max="5" width="30.81640625" style="13" customWidth="1"/>
    <col min="6" max="6" width="25.26953125" style="13" customWidth="1"/>
    <col min="7" max="7" width="27.453125" style="13" customWidth="1"/>
    <col min="8" max="9" width="12.7265625" style="13" bestFit="1" customWidth="1"/>
    <col min="10" max="16384" width="10.90625" style="13"/>
  </cols>
  <sheetData>
    <row r="1" spans="1:9" ht="62.5" customHeight="1" x14ac:dyDescent="0.35">
      <c r="A1" s="21" t="s">
        <v>52</v>
      </c>
      <c r="B1" s="21" t="s">
        <v>51</v>
      </c>
      <c r="C1" s="21" t="s">
        <v>50</v>
      </c>
      <c r="D1" s="21" t="s">
        <v>54</v>
      </c>
      <c r="E1" s="21" t="s">
        <v>55</v>
      </c>
      <c r="F1" s="21" t="s">
        <v>56</v>
      </c>
      <c r="G1" s="21" t="s">
        <v>57</v>
      </c>
      <c r="H1" s="21" t="s">
        <v>49</v>
      </c>
      <c r="I1" s="22" t="s">
        <v>48</v>
      </c>
    </row>
    <row r="2" spans="1:9" ht="15" x14ac:dyDescent="0.35">
      <c r="A2" s="23">
        <v>1</v>
      </c>
      <c r="B2" s="23" t="s">
        <v>47</v>
      </c>
      <c r="C2" s="23" t="s">
        <v>46</v>
      </c>
      <c r="D2" s="24">
        <v>22</v>
      </c>
      <c r="E2" s="25">
        <v>4678149669</v>
      </c>
      <c r="F2" s="24">
        <v>30</v>
      </c>
      <c r="G2" s="25">
        <v>4866430853</v>
      </c>
      <c r="H2" s="26">
        <f t="shared" ref="H2:H11" si="0">(F2-D2)/D2</f>
        <v>0.36363636363636365</v>
      </c>
      <c r="I2" s="26">
        <f t="shared" ref="I2:I11" si="1">(G2-E2)/E2</f>
        <v>4.0246934647613988E-2</v>
      </c>
    </row>
    <row r="3" spans="1:9" ht="15" x14ac:dyDescent="0.35">
      <c r="A3" s="23">
        <v>2</v>
      </c>
      <c r="B3" s="27" t="s">
        <v>45</v>
      </c>
      <c r="C3" s="23" t="s">
        <v>44</v>
      </c>
      <c r="D3" s="24">
        <v>56</v>
      </c>
      <c r="E3" s="25">
        <v>8779924282</v>
      </c>
      <c r="F3" s="24">
        <v>167</v>
      </c>
      <c r="G3" s="25">
        <v>56310718462</v>
      </c>
      <c r="H3" s="26">
        <f t="shared" si="0"/>
        <v>1.9821428571428572</v>
      </c>
      <c r="I3" s="26">
        <f t="shared" si="1"/>
        <v>5.4135767750804389</v>
      </c>
    </row>
    <row r="4" spans="1:9" ht="15" x14ac:dyDescent="0.35">
      <c r="A4" s="23">
        <v>3</v>
      </c>
      <c r="B4" s="27" t="s">
        <v>43</v>
      </c>
      <c r="C4" s="28" t="s">
        <v>42</v>
      </c>
      <c r="D4" s="24">
        <v>210</v>
      </c>
      <c r="E4" s="25">
        <v>35504442051</v>
      </c>
      <c r="F4" s="24">
        <v>221</v>
      </c>
      <c r="G4" s="25">
        <v>61611788260</v>
      </c>
      <c r="H4" s="26">
        <f t="shared" si="0"/>
        <v>5.2380952380952382E-2</v>
      </c>
      <c r="I4" s="26">
        <f t="shared" si="1"/>
        <v>0.73532619302954727</v>
      </c>
    </row>
    <row r="5" spans="1:9" ht="15" x14ac:dyDescent="0.35">
      <c r="A5" s="23">
        <v>4</v>
      </c>
      <c r="B5" s="27" t="s">
        <v>41</v>
      </c>
      <c r="C5" s="23" t="s">
        <v>40</v>
      </c>
      <c r="D5" s="24">
        <v>56</v>
      </c>
      <c r="E5" s="25">
        <v>22569157005</v>
      </c>
      <c r="F5" s="24">
        <v>113</v>
      </c>
      <c r="G5" s="25">
        <v>42445789796</v>
      </c>
      <c r="H5" s="26">
        <f t="shared" si="0"/>
        <v>1.0178571428571428</v>
      </c>
      <c r="I5" s="26">
        <f t="shared" si="1"/>
        <v>0.88069894620328559</v>
      </c>
    </row>
    <row r="6" spans="1:9" ht="15" x14ac:dyDescent="0.35">
      <c r="A6" s="23">
        <v>5</v>
      </c>
      <c r="B6" s="27" t="s">
        <v>39</v>
      </c>
      <c r="C6" s="23" t="s">
        <v>38</v>
      </c>
      <c r="D6" s="24">
        <v>38</v>
      </c>
      <c r="E6" s="25">
        <v>9799758658</v>
      </c>
      <c r="F6" s="24">
        <v>99</v>
      </c>
      <c r="G6" s="25">
        <v>21576672176</v>
      </c>
      <c r="H6" s="26">
        <f t="shared" si="0"/>
        <v>1.6052631578947369</v>
      </c>
      <c r="I6" s="26">
        <f t="shared" si="1"/>
        <v>1.2017554644966646</v>
      </c>
    </row>
    <row r="7" spans="1:9" ht="15" x14ac:dyDescent="0.35">
      <c r="A7" s="23">
        <v>6</v>
      </c>
      <c r="B7" s="27" t="s">
        <v>37</v>
      </c>
      <c r="C7" s="23" t="s">
        <v>36</v>
      </c>
      <c r="D7" s="24">
        <v>215</v>
      </c>
      <c r="E7" s="25">
        <v>52769586088</v>
      </c>
      <c r="F7" s="24">
        <v>202</v>
      </c>
      <c r="G7" s="25">
        <v>45298662372</v>
      </c>
      <c r="H7" s="26">
        <f t="shared" si="0"/>
        <v>-6.0465116279069767E-2</v>
      </c>
      <c r="I7" s="26">
        <f t="shared" si="1"/>
        <v>-0.14157631828950268</v>
      </c>
    </row>
    <row r="8" spans="1:9" ht="15" x14ac:dyDescent="0.35">
      <c r="A8" s="23">
        <v>7</v>
      </c>
      <c r="B8" s="27" t="s">
        <v>35</v>
      </c>
      <c r="C8" s="23" t="s">
        <v>34</v>
      </c>
      <c r="D8" s="24">
        <v>98</v>
      </c>
      <c r="E8" s="25">
        <v>18662802344</v>
      </c>
      <c r="F8" s="24">
        <v>326</v>
      </c>
      <c r="G8" s="25">
        <v>33439119256</v>
      </c>
      <c r="H8" s="26">
        <f t="shared" si="0"/>
        <v>2.3265306122448979</v>
      </c>
      <c r="I8" s="26">
        <f t="shared" si="1"/>
        <v>0.79175231241467414</v>
      </c>
    </row>
    <row r="9" spans="1:9" ht="15" x14ac:dyDescent="0.35">
      <c r="A9" s="23">
        <v>8</v>
      </c>
      <c r="B9" s="27" t="s">
        <v>33</v>
      </c>
      <c r="C9" s="23" t="s">
        <v>32</v>
      </c>
      <c r="D9" s="24">
        <v>99</v>
      </c>
      <c r="E9" s="25">
        <v>29007212760</v>
      </c>
      <c r="F9" s="24">
        <v>159</v>
      </c>
      <c r="G9" s="25">
        <v>38182989862</v>
      </c>
      <c r="H9" s="26">
        <f t="shared" si="0"/>
        <v>0.60606060606060608</v>
      </c>
      <c r="I9" s="26">
        <f t="shared" si="1"/>
        <v>0.31632743131574148</v>
      </c>
    </row>
    <row r="10" spans="1:9" ht="15" x14ac:dyDescent="0.35">
      <c r="A10" s="23">
        <v>9</v>
      </c>
      <c r="B10" s="27" t="s">
        <v>31</v>
      </c>
      <c r="C10" s="23" t="s">
        <v>30</v>
      </c>
      <c r="D10" s="24">
        <v>10</v>
      </c>
      <c r="E10" s="25">
        <v>4674724471</v>
      </c>
      <c r="F10" s="24">
        <v>220</v>
      </c>
      <c r="G10" s="25">
        <v>30093567457</v>
      </c>
      <c r="H10" s="26">
        <f t="shared" si="0"/>
        <v>21</v>
      </c>
      <c r="I10" s="26">
        <f t="shared" si="1"/>
        <v>5.4375061340379904</v>
      </c>
    </row>
    <row r="11" spans="1:9" ht="15" x14ac:dyDescent="0.35">
      <c r="A11" s="23">
        <v>10</v>
      </c>
      <c r="B11" s="27" t="s">
        <v>29</v>
      </c>
      <c r="C11" s="23" t="s">
        <v>28</v>
      </c>
      <c r="D11" s="24">
        <v>194</v>
      </c>
      <c r="E11" s="25">
        <v>42127177033</v>
      </c>
      <c r="F11" s="24">
        <v>548</v>
      </c>
      <c r="G11" s="25">
        <v>252862339506</v>
      </c>
      <c r="H11" s="26">
        <f t="shared" si="0"/>
        <v>1.8247422680412371</v>
      </c>
      <c r="I11" s="26">
        <f t="shared" si="1"/>
        <v>5.0023566095568714</v>
      </c>
    </row>
    <row r="12" spans="1:9" ht="15" x14ac:dyDescent="0.35">
      <c r="A12" s="23">
        <v>11</v>
      </c>
      <c r="B12" s="27" t="s">
        <v>27</v>
      </c>
      <c r="C12" s="23" t="s">
        <v>26</v>
      </c>
      <c r="D12" s="24"/>
      <c r="E12" s="25"/>
      <c r="F12" s="24"/>
      <c r="G12" s="25"/>
      <c r="H12" s="26">
        <v>0</v>
      </c>
      <c r="I12" s="26">
        <v>0</v>
      </c>
    </row>
    <row r="13" spans="1:9" ht="15" x14ac:dyDescent="0.35">
      <c r="A13" s="23">
        <v>12</v>
      </c>
      <c r="B13" s="27" t="s">
        <v>25</v>
      </c>
      <c r="C13" s="23" t="s">
        <v>24</v>
      </c>
      <c r="D13" s="24">
        <v>101</v>
      </c>
      <c r="E13" s="25">
        <v>43893021046</v>
      </c>
      <c r="F13" s="24">
        <v>211</v>
      </c>
      <c r="G13" s="25">
        <v>68161856840</v>
      </c>
      <c r="H13" s="26">
        <f t="shared" ref="H13:I19" si="2">(F13-D13)/D13</f>
        <v>1.0891089108910892</v>
      </c>
      <c r="I13" s="26">
        <f t="shared" si="2"/>
        <v>0.55290875897027447</v>
      </c>
    </row>
    <row r="14" spans="1:9" ht="15" x14ac:dyDescent="0.35">
      <c r="A14" s="23">
        <v>13</v>
      </c>
      <c r="B14" s="27" t="s">
        <v>23</v>
      </c>
      <c r="C14" s="23" t="s">
        <v>22</v>
      </c>
      <c r="D14" s="24">
        <v>66</v>
      </c>
      <c r="E14" s="25">
        <v>15454043177</v>
      </c>
      <c r="F14" s="24">
        <v>138</v>
      </c>
      <c r="G14" s="25">
        <v>39806392548</v>
      </c>
      <c r="H14" s="26">
        <f t="shared" si="2"/>
        <v>1.0909090909090908</v>
      </c>
      <c r="I14" s="26">
        <f t="shared" si="2"/>
        <v>1.5757914671316049</v>
      </c>
    </row>
    <row r="15" spans="1:9" ht="15" x14ac:dyDescent="0.35">
      <c r="A15" s="23">
        <v>14</v>
      </c>
      <c r="B15" s="27" t="s">
        <v>21</v>
      </c>
      <c r="C15" s="23" t="s">
        <v>20</v>
      </c>
      <c r="D15" s="24">
        <v>24</v>
      </c>
      <c r="E15" s="25">
        <v>6279942627</v>
      </c>
      <c r="F15" s="24">
        <v>58</v>
      </c>
      <c r="G15" s="25">
        <v>9426858260</v>
      </c>
      <c r="H15" s="26">
        <f t="shared" si="2"/>
        <v>1.4166666666666667</v>
      </c>
      <c r="I15" s="26">
        <f t="shared" si="2"/>
        <v>0.50110579346221151</v>
      </c>
    </row>
    <row r="16" spans="1:9" ht="15" x14ac:dyDescent="0.35">
      <c r="A16" s="23">
        <v>15</v>
      </c>
      <c r="B16" s="27" t="s">
        <v>19</v>
      </c>
      <c r="C16" s="23" t="s">
        <v>18</v>
      </c>
      <c r="D16" s="24">
        <v>166</v>
      </c>
      <c r="E16" s="25">
        <v>33438303015</v>
      </c>
      <c r="F16" s="24">
        <v>216</v>
      </c>
      <c r="G16" s="25">
        <v>60375539717</v>
      </c>
      <c r="H16" s="26">
        <f t="shared" si="2"/>
        <v>0.30120481927710846</v>
      </c>
      <c r="I16" s="26">
        <f t="shared" si="2"/>
        <v>0.80558025596921878</v>
      </c>
    </row>
    <row r="17" spans="1:9" ht="15" x14ac:dyDescent="0.35">
      <c r="A17" s="23">
        <v>16</v>
      </c>
      <c r="B17" s="27" t="s">
        <v>17</v>
      </c>
      <c r="C17" s="23" t="s">
        <v>16</v>
      </c>
      <c r="D17" s="24">
        <v>58</v>
      </c>
      <c r="E17" s="25">
        <v>24752024936</v>
      </c>
      <c r="F17" s="24">
        <v>179</v>
      </c>
      <c r="G17" s="25">
        <v>59474747802</v>
      </c>
      <c r="H17" s="26">
        <f t="shared" si="2"/>
        <v>2.0862068965517242</v>
      </c>
      <c r="I17" s="26">
        <f t="shared" si="2"/>
        <v>1.4028235247734562</v>
      </c>
    </row>
    <row r="18" spans="1:9" ht="15" x14ac:dyDescent="0.35">
      <c r="A18" s="23">
        <v>17</v>
      </c>
      <c r="B18" s="27" t="s">
        <v>15</v>
      </c>
      <c r="C18" s="23" t="s">
        <v>14</v>
      </c>
      <c r="D18" s="24">
        <v>142</v>
      </c>
      <c r="E18" s="25">
        <v>25596595812</v>
      </c>
      <c r="F18" s="24">
        <v>255</v>
      </c>
      <c r="G18" s="25">
        <v>62933872411</v>
      </c>
      <c r="H18" s="26">
        <f t="shared" si="2"/>
        <v>0.79577464788732399</v>
      </c>
      <c r="I18" s="26">
        <f t="shared" si="2"/>
        <v>1.4586813368946439</v>
      </c>
    </row>
    <row r="19" spans="1:9" ht="15" x14ac:dyDescent="0.35">
      <c r="A19" s="23">
        <v>18</v>
      </c>
      <c r="B19" s="27" t="s">
        <v>13</v>
      </c>
      <c r="C19" s="23" t="s">
        <v>12</v>
      </c>
      <c r="D19" s="24">
        <v>46</v>
      </c>
      <c r="E19" s="25">
        <v>10959856304</v>
      </c>
      <c r="F19" s="24">
        <v>68</v>
      </c>
      <c r="G19" s="25">
        <v>30142817350</v>
      </c>
      <c r="H19" s="26">
        <f t="shared" si="2"/>
        <v>0.47826086956521741</v>
      </c>
      <c r="I19" s="26">
        <f t="shared" si="2"/>
        <v>1.7502931164342754</v>
      </c>
    </row>
    <row r="20" spans="1:9" ht="15" x14ac:dyDescent="0.35">
      <c r="A20" s="23">
        <v>19</v>
      </c>
      <c r="B20" s="27" t="s">
        <v>11</v>
      </c>
      <c r="C20" s="23" t="s">
        <v>10</v>
      </c>
      <c r="D20" s="24">
        <v>6</v>
      </c>
      <c r="E20" s="25">
        <v>5524000000</v>
      </c>
      <c r="F20" s="24">
        <v>3</v>
      </c>
      <c r="G20" s="25">
        <v>50400000</v>
      </c>
      <c r="H20" s="26">
        <v>0</v>
      </c>
      <c r="I20" s="26">
        <v>0</v>
      </c>
    </row>
    <row r="21" spans="1:9" ht="15" x14ac:dyDescent="0.35">
      <c r="A21" s="23">
        <v>20</v>
      </c>
      <c r="B21" s="27" t="s">
        <v>9</v>
      </c>
      <c r="C21" s="23" t="s">
        <v>8</v>
      </c>
      <c r="D21" s="24">
        <v>20</v>
      </c>
      <c r="E21" s="24">
        <v>7839350000</v>
      </c>
      <c r="F21" s="24">
        <v>91</v>
      </c>
      <c r="G21" s="24">
        <v>40077378849</v>
      </c>
      <c r="H21" s="26">
        <f>(F21-D21)/D21</f>
        <v>3.55</v>
      </c>
      <c r="I21" s="26">
        <f>(G21-E21)/E21</f>
        <v>4.1123344217313935</v>
      </c>
    </row>
    <row r="22" spans="1:9" ht="15" x14ac:dyDescent="0.35">
      <c r="A22" s="23">
        <v>21</v>
      </c>
      <c r="B22" s="27" t="s">
        <v>7</v>
      </c>
      <c r="C22" s="23" t="s">
        <v>6</v>
      </c>
      <c r="D22" s="24"/>
      <c r="E22" s="25"/>
      <c r="F22" s="24"/>
      <c r="G22" s="25"/>
      <c r="H22" s="26">
        <v>0</v>
      </c>
      <c r="I22" s="26">
        <v>0</v>
      </c>
    </row>
    <row r="23" spans="1:9" ht="15" x14ac:dyDescent="0.35">
      <c r="A23" s="23">
        <v>22</v>
      </c>
      <c r="B23" s="27" t="s">
        <v>5</v>
      </c>
      <c r="C23" s="23" t="s">
        <v>4</v>
      </c>
      <c r="D23" s="24">
        <v>43</v>
      </c>
      <c r="E23" s="24">
        <v>17934755664</v>
      </c>
      <c r="F23" s="24">
        <v>94</v>
      </c>
      <c r="G23" s="24">
        <v>14977426692</v>
      </c>
      <c r="H23" s="26">
        <f t="shared" ref="H23:I25" si="3">(F23-D23)/D23</f>
        <v>1.1860465116279071</v>
      </c>
      <c r="I23" s="26">
        <f t="shared" si="3"/>
        <v>-0.16489374192792461</v>
      </c>
    </row>
    <row r="24" spans="1:9" ht="26.5" customHeight="1" x14ac:dyDescent="0.35">
      <c r="A24" s="23">
        <v>23</v>
      </c>
      <c r="B24" s="27" t="s">
        <v>2</v>
      </c>
      <c r="C24" s="28" t="s">
        <v>1</v>
      </c>
      <c r="D24" s="24"/>
      <c r="E24" s="24"/>
      <c r="F24" s="24">
        <v>5</v>
      </c>
      <c r="G24" s="24">
        <v>31533000000</v>
      </c>
      <c r="H24" s="26" t="e">
        <f t="shared" si="3"/>
        <v>#DIV/0!</v>
      </c>
      <c r="I24" s="26" t="e">
        <f t="shared" si="3"/>
        <v>#DIV/0!</v>
      </c>
    </row>
    <row r="25" spans="1:9" ht="15" x14ac:dyDescent="0.35">
      <c r="A25" s="35" t="s">
        <v>0</v>
      </c>
      <c r="B25" s="36"/>
      <c r="C25" s="37"/>
      <c r="D25" s="29">
        <f>SUM(D2:D24)</f>
        <v>1670</v>
      </c>
      <c r="E25" s="29">
        <f>SUM(E2:E24)</f>
        <v>420244826942</v>
      </c>
      <c r="F25" s="29">
        <f>SUM(F2:F24)</f>
        <v>3403</v>
      </c>
      <c r="G25" s="29">
        <f>SUM(G2:G24)</f>
        <v>1003648368469</v>
      </c>
      <c r="H25" s="30">
        <f t="shared" si="3"/>
        <v>1.0377245508982036</v>
      </c>
      <c r="I25" s="30">
        <f t="shared" si="3"/>
        <v>1.3882468126312435</v>
      </c>
    </row>
  </sheetData>
  <mergeCells count="1">
    <mergeCell ref="A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DE86-B503-4F48-94A8-53D7BAF16ED9}">
  <dimension ref="A1:I25"/>
  <sheetViews>
    <sheetView topLeftCell="C1" workbookViewId="0">
      <selection activeCell="B1" sqref="B1"/>
    </sheetView>
  </sheetViews>
  <sheetFormatPr baseColWidth="10" defaultRowHeight="12.5" x14ac:dyDescent="0.35"/>
  <cols>
    <col min="1" max="1" width="6.81640625" style="13" customWidth="1"/>
    <col min="2" max="2" width="6.08984375" style="13" customWidth="1"/>
    <col min="3" max="3" width="55.90625" style="13" customWidth="1"/>
    <col min="4" max="4" width="26.81640625" style="13" customWidth="1"/>
    <col min="5" max="5" width="28.1796875" style="13" customWidth="1"/>
    <col min="6" max="6" width="24.1796875" style="13" customWidth="1"/>
    <col min="7" max="7" width="24" style="13" customWidth="1"/>
    <col min="8" max="8" width="13.453125" style="13" customWidth="1"/>
    <col min="9" max="16384" width="10.90625" style="13"/>
  </cols>
  <sheetData>
    <row r="1" spans="1:9" s="16" customFormat="1" ht="46" customHeight="1" x14ac:dyDescent="0.35">
      <c r="A1" s="19" t="s">
        <v>52</v>
      </c>
      <c r="B1" s="19" t="s">
        <v>51</v>
      </c>
      <c r="C1" s="19" t="s">
        <v>50</v>
      </c>
      <c r="D1" s="17" t="s">
        <v>54</v>
      </c>
      <c r="E1" s="17" t="s">
        <v>55</v>
      </c>
      <c r="F1" s="17" t="s">
        <v>56</v>
      </c>
      <c r="G1" s="17" t="s">
        <v>57</v>
      </c>
      <c r="H1" s="17" t="s">
        <v>49</v>
      </c>
      <c r="I1" s="18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/>
      <c r="E2" s="9"/>
      <c r="F2" s="5"/>
      <c r="G2" s="9"/>
      <c r="H2" s="11" t="e">
        <f t="shared" ref="H2:H11" si="0">(F2-D2)/D2</f>
        <v>#DIV/0!</v>
      </c>
      <c r="I2" s="11" t="e">
        <f t="shared" ref="I2:I11" si="1">(G2-E2)/E2</f>
        <v>#DIV/0!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1</v>
      </c>
      <c r="E3" s="9">
        <v>19000000</v>
      </c>
      <c r="F3" s="5">
        <v>6</v>
      </c>
      <c r="G3" s="9">
        <v>14745656648</v>
      </c>
      <c r="H3" s="11">
        <f t="shared" si="0"/>
        <v>5</v>
      </c>
      <c r="I3" s="11">
        <f t="shared" si="1"/>
        <v>775.08719199999996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83</v>
      </c>
      <c r="E4" s="9">
        <v>34106066346</v>
      </c>
      <c r="F4" s="5">
        <v>2</v>
      </c>
      <c r="G4" s="9">
        <v>514740000</v>
      </c>
      <c r="H4" s="11">
        <f t="shared" si="0"/>
        <v>-0.97590361445783136</v>
      </c>
      <c r="I4" s="11">
        <f t="shared" si="1"/>
        <v>-0.98490767024323311</v>
      </c>
    </row>
    <row r="5" spans="1:9" ht="13.5" x14ac:dyDescent="0.35">
      <c r="A5" s="8">
        <v>4</v>
      </c>
      <c r="B5" s="7" t="s">
        <v>41</v>
      </c>
      <c r="C5" s="8" t="s">
        <v>40</v>
      </c>
      <c r="D5" s="5"/>
      <c r="E5" s="9"/>
      <c r="F5" s="5"/>
      <c r="G5" s="9"/>
      <c r="H5" s="11" t="e">
        <f t="shared" si="0"/>
        <v>#DIV/0!</v>
      </c>
      <c r="I5" s="11" t="e">
        <f t="shared" si="1"/>
        <v>#DIV/0!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1</v>
      </c>
      <c r="E6" s="9">
        <v>1619493000</v>
      </c>
      <c r="F6" s="5"/>
      <c r="G6" s="9"/>
      <c r="H6" s="11">
        <f t="shared" si="0"/>
        <v>-1</v>
      </c>
      <c r="I6" s="11">
        <f t="shared" si="1"/>
        <v>-1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48</v>
      </c>
      <c r="E7" s="9">
        <v>9421880000</v>
      </c>
      <c r="F7" s="5">
        <v>8</v>
      </c>
      <c r="G7" s="9">
        <v>9350000000</v>
      </c>
      <c r="H7" s="11">
        <f t="shared" si="0"/>
        <v>-0.83333333333333337</v>
      </c>
      <c r="I7" s="11">
        <f t="shared" si="1"/>
        <v>-7.6290506777840512E-3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1</v>
      </c>
      <c r="E8" s="9">
        <v>21807088823</v>
      </c>
      <c r="F8" s="5"/>
      <c r="G8" s="9"/>
      <c r="H8" s="11">
        <f t="shared" si="0"/>
        <v>-1</v>
      </c>
      <c r="I8" s="11">
        <f t="shared" si="1"/>
        <v>-1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5</v>
      </c>
      <c r="E9" s="9">
        <v>42222511802</v>
      </c>
      <c r="F9" s="5"/>
      <c r="G9" s="9"/>
      <c r="H9" s="11">
        <f t="shared" si="0"/>
        <v>-1</v>
      </c>
      <c r="I9" s="11">
        <f t="shared" si="1"/>
        <v>-1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/>
      <c r="E10" s="9"/>
      <c r="F10" s="5"/>
      <c r="G10" s="9"/>
      <c r="H10" s="11" t="e">
        <f t="shared" si="0"/>
        <v>#DIV/0!</v>
      </c>
      <c r="I10" s="11" t="e">
        <f t="shared" si="1"/>
        <v>#DIV/0!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6</v>
      </c>
      <c r="E11" s="9">
        <v>16445315742</v>
      </c>
      <c r="F11" s="5">
        <v>11</v>
      </c>
      <c r="G11" s="9">
        <v>35253114340</v>
      </c>
      <c r="H11" s="11">
        <f t="shared" si="0"/>
        <v>0.83333333333333337</v>
      </c>
      <c r="I11" s="11">
        <f t="shared" si="1"/>
        <v>1.1436568864388788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11">
        <v>0</v>
      </c>
      <c r="I12" s="11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</v>
      </c>
      <c r="E13" s="9">
        <v>2722335000</v>
      </c>
      <c r="F13" s="5">
        <v>2</v>
      </c>
      <c r="G13" s="9">
        <v>37364114931</v>
      </c>
      <c r="H13" s="11">
        <f t="shared" ref="H13:I19" si="2">(F13-D13)/D13</f>
        <v>1</v>
      </c>
      <c r="I13" s="11">
        <f t="shared" si="2"/>
        <v>12.725024631795867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/>
      <c r="E14" s="9"/>
      <c r="F14" s="5">
        <v>3</v>
      </c>
      <c r="G14" s="9">
        <v>4308520649</v>
      </c>
      <c r="H14" s="11" t="e">
        <f t="shared" si="2"/>
        <v>#DIV/0!</v>
      </c>
      <c r="I14" s="11" t="e">
        <f t="shared" si="2"/>
        <v>#DIV/0!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/>
      <c r="E15" s="9"/>
      <c r="F15" s="5"/>
      <c r="G15" s="9"/>
      <c r="H15" s="11" t="e">
        <f t="shared" si="2"/>
        <v>#DIV/0!</v>
      </c>
      <c r="I15" s="11" t="e">
        <f t="shared" si="2"/>
        <v>#DIV/0!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72</v>
      </c>
      <c r="E16" s="9">
        <v>15086844600</v>
      </c>
      <c r="F16" s="5">
        <v>79</v>
      </c>
      <c r="G16" s="9">
        <v>19737308377</v>
      </c>
      <c r="H16" s="11">
        <f t="shared" si="2"/>
        <v>9.7222222222222224E-2</v>
      </c>
      <c r="I16" s="11">
        <f t="shared" si="2"/>
        <v>0.3082462834541293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1</v>
      </c>
      <c r="E17" s="9">
        <v>1000000000</v>
      </c>
      <c r="F17" s="5"/>
      <c r="G17" s="9"/>
      <c r="H17" s="11">
        <f t="shared" si="2"/>
        <v>-1</v>
      </c>
      <c r="I17" s="11">
        <f t="shared" si="2"/>
        <v>-1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/>
      <c r="E18" s="9"/>
      <c r="F18" s="5"/>
      <c r="G18" s="9"/>
      <c r="H18" s="11" t="e">
        <f t="shared" si="2"/>
        <v>#DIV/0!</v>
      </c>
      <c r="I18" s="11" t="e">
        <f t="shared" si="2"/>
        <v>#DIV/0!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7</v>
      </c>
      <c r="E19" s="9">
        <v>57135673794</v>
      </c>
      <c r="F19" s="5">
        <v>4</v>
      </c>
      <c r="G19" s="9">
        <v>16456962246</v>
      </c>
      <c r="H19" s="11">
        <f t="shared" si="2"/>
        <v>-0.42857142857142855</v>
      </c>
      <c r="I19" s="11">
        <f t="shared" si="2"/>
        <v>-0.71196695246240016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/>
      <c r="E20" s="9"/>
      <c r="F20" s="5"/>
      <c r="G20" s="9"/>
      <c r="H20" s="11">
        <v>0</v>
      </c>
      <c r="I20" s="11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61</v>
      </c>
      <c r="E21" s="5">
        <v>9293181132</v>
      </c>
      <c r="F21" s="5">
        <v>157</v>
      </c>
      <c r="G21" s="5">
        <v>20554325000</v>
      </c>
      <c r="H21" s="11">
        <f>(F21-D21)/D21</f>
        <v>1.5737704918032787</v>
      </c>
      <c r="I21" s="11">
        <f>(G21-E21)/E21</f>
        <v>1.2117641642885391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11">
        <v>0</v>
      </c>
      <c r="I22" s="11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3</v>
      </c>
      <c r="E23" s="5">
        <v>4060777630</v>
      </c>
      <c r="F23" s="5"/>
      <c r="G23" s="5"/>
      <c r="H23" s="11">
        <f t="shared" ref="H23:I25" si="3">(F23-D23)/D23</f>
        <v>-1</v>
      </c>
      <c r="I23" s="11">
        <f t="shared" si="3"/>
        <v>-1</v>
      </c>
    </row>
    <row r="24" spans="1:9" ht="34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/>
      <c r="G24" s="5"/>
      <c r="H24" s="11" t="e">
        <f t="shared" si="3"/>
        <v>#DIV/0!</v>
      </c>
      <c r="I24" s="11" t="e">
        <f t="shared" si="3"/>
        <v>#DIV/0!</v>
      </c>
    </row>
    <row r="25" spans="1:9" ht="13.5" x14ac:dyDescent="0.35">
      <c r="A25" s="32" t="s">
        <v>0</v>
      </c>
      <c r="B25" s="33"/>
      <c r="C25" s="34"/>
      <c r="D25" s="2">
        <f>SUM(D2:D24)</f>
        <v>290</v>
      </c>
      <c r="E25" s="2">
        <f>SUM(E2:E24)</f>
        <v>214940167869</v>
      </c>
      <c r="F25" s="2">
        <f>SUM(F2:F24)</f>
        <v>272</v>
      </c>
      <c r="G25" s="2">
        <f>SUM(G2:G24)</f>
        <v>158284742191</v>
      </c>
      <c r="H25" s="10">
        <f t="shared" si="3"/>
        <v>-6.2068965517241378E-2</v>
      </c>
      <c r="I25" s="10">
        <f t="shared" si="3"/>
        <v>-0.26358696115157915</v>
      </c>
    </row>
  </sheetData>
  <mergeCells count="1"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virements</vt:lpstr>
      <vt:lpstr>chèques</vt:lpstr>
      <vt:lpstr>chèques représenté</vt:lpstr>
      <vt:lpstr>lettre de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2026-05-11T10:05:20Z</dcterms:created>
  <dcterms:modified xsi:type="dcterms:W3CDTF">2026-05-19T09:37:22Z</dcterms:modified>
</cp:coreProperties>
</file>