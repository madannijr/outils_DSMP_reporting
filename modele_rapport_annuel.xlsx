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agesBCRG\Données\"/>
    </mc:Choice>
  </mc:AlternateContent>
  <xr:revisionPtr revIDLastSave="0" documentId="13_ncr:1_{D20DDB81-2725-40BE-8A52-1C5F6BAF59AB}" xr6:coauthVersionLast="47" xr6:coauthVersionMax="47" xr10:uidLastSave="{00000000-0000-0000-0000-000000000000}"/>
  <bookViews>
    <workbookView xWindow="-110" yWindow="-110" windowWidth="19420" windowHeight="10420" tabRatio="925" activeTab="4" xr2:uid="{01F44735-8C67-4697-BED8-7E5FFB044DF0}"/>
  </bookViews>
  <sheets>
    <sheet name="Evolution Globale ACPACH" sheetId="9" r:id="rId1"/>
    <sheet name="Evolution par Banque ACPACH" sheetId="10" r:id="rId2"/>
    <sheet name="Rejets Impayés" sheetId="14" r:id="rId3"/>
    <sheet name="Global RTGS" sheetId="5" r:id="rId4"/>
    <sheet name="Mensuel RTGS" sheetId="2" r:id="rId5"/>
    <sheet name="Variation Mensuel RTGS " sheetId="3" r:id="rId6"/>
    <sheet name="Variation Devise RTGS" sheetId="6" r:id="rId7"/>
    <sheet name="Variation Contribution SNP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3" l="1"/>
  <c r="D3" i="5"/>
  <c r="G3" i="3"/>
  <c r="B6" i="14"/>
  <c r="D2" i="9"/>
  <c r="D5" i="9"/>
  <c r="D3" i="9"/>
  <c r="D4" i="9"/>
  <c r="H4" i="8"/>
  <c r="H5" i="8"/>
  <c r="H6" i="8"/>
  <c r="I6" i="8" s="1"/>
  <c r="H7" i="8"/>
  <c r="H8" i="8"/>
  <c r="H9" i="8"/>
  <c r="H10" i="8"/>
  <c r="I10" i="8" s="1"/>
  <c r="H11" i="8"/>
  <c r="H12" i="8"/>
  <c r="H13" i="8"/>
  <c r="H14" i="8"/>
  <c r="I14" i="8" s="1"/>
  <c r="H15" i="8"/>
  <c r="H16" i="8"/>
  <c r="H17" i="8"/>
  <c r="H18" i="8"/>
  <c r="I18" i="8" s="1"/>
  <c r="H19" i="8"/>
  <c r="H20" i="8"/>
  <c r="H21" i="8"/>
  <c r="H22" i="8"/>
  <c r="I22" i="8" s="1"/>
  <c r="H23" i="8"/>
  <c r="H24" i="8"/>
  <c r="H3" i="8"/>
  <c r="F25" i="8"/>
  <c r="C25" i="8"/>
  <c r="E25" i="8"/>
  <c r="D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D4" i="6"/>
  <c r="D3" i="6"/>
  <c r="B5" i="6"/>
  <c r="E3" i="5"/>
  <c r="E2" i="5"/>
  <c r="D2" i="5"/>
  <c r="G4" i="3"/>
  <c r="G5" i="3"/>
  <c r="G6" i="3"/>
  <c r="G7" i="3"/>
  <c r="G8" i="3"/>
  <c r="G9" i="3"/>
  <c r="G10" i="3"/>
  <c r="G11" i="3"/>
  <c r="G12" i="3"/>
  <c r="G13" i="3"/>
  <c r="G14" i="3"/>
  <c r="F4" i="3"/>
  <c r="F5" i="3"/>
  <c r="F6" i="3"/>
  <c r="F7" i="3"/>
  <c r="F8" i="3"/>
  <c r="F9" i="3"/>
  <c r="F10" i="3"/>
  <c r="F11" i="3"/>
  <c r="F12" i="3"/>
  <c r="F13" i="3"/>
  <c r="F14" i="3"/>
  <c r="E15" i="3"/>
  <c r="C15" i="3"/>
  <c r="B15" i="3"/>
  <c r="D15" i="3"/>
  <c r="S5" i="2"/>
  <c r="S6" i="2"/>
  <c r="S16" i="2" s="1"/>
  <c r="S7" i="2"/>
  <c r="S8" i="2"/>
  <c r="S9" i="2"/>
  <c r="S10" i="2"/>
  <c r="S11" i="2"/>
  <c r="S12" i="2"/>
  <c r="S13" i="2"/>
  <c r="S14" i="2"/>
  <c r="S15" i="2"/>
  <c r="S4" i="2"/>
  <c r="R15" i="2"/>
  <c r="R14" i="2"/>
  <c r="R13" i="2"/>
  <c r="R12" i="2"/>
  <c r="R11" i="2"/>
  <c r="R10" i="2"/>
  <c r="R9" i="2"/>
  <c r="R8" i="2"/>
  <c r="R7" i="2"/>
  <c r="R6" i="2"/>
  <c r="R5" i="2"/>
  <c r="R4" i="2"/>
  <c r="I21" i="8" l="1"/>
  <c r="I17" i="8"/>
  <c r="I13" i="8"/>
  <c r="I9" i="8"/>
  <c r="I5" i="8"/>
  <c r="I24" i="8"/>
  <c r="I20" i="8"/>
  <c r="I16" i="8"/>
  <c r="I12" i="8"/>
  <c r="I8" i="8"/>
  <c r="I4" i="8"/>
  <c r="I23" i="8"/>
  <c r="I19" i="8"/>
  <c r="I15" i="8"/>
  <c r="I11" i="8"/>
  <c r="I7" i="8"/>
  <c r="D5" i="6"/>
  <c r="E3" i="6" s="1"/>
  <c r="F15" i="3"/>
  <c r="R16" i="2"/>
  <c r="G15" i="3"/>
  <c r="G5" i="9"/>
  <c r="G4" i="9"/>
  <c r="G3" i="9"/>
  <c r="G2" i="9"/>
  <c r="H25" i="8"/>
  <c r="I25" i="8" s="1"/>
  <c r="G25" i="8"/>
  <c r="E2" i="6" l="1"/>
  <c r="E4" i="6"/>
  <c r="E5" i="6" l="1"/>
</calcChain>
</file>

<file path=xl/sharedStrings.xml><?xml version="1.0" encoding="utf-8"?>
<sst xmlns="http://schemas.openxmlformats.org/spreadsheetml/2006/main" count="183" uniqueCount="106">
  <si>
    <t>N°</t>
  </si>
  <si>
    <t>EUR</t>
  </si>
  <si>
    <t>USD</t>
  </si>
  <si>
    <t>GNF</t>
  </si>
  <si>
    <t>Nombre</t>
  </si>
  <si>
    <t>Montant</t>
  </si>
  <si>
    <t>Total</t>
  </si>
  <si>
    <t>Mois</t>
  </si>
  <si>
    <t>EURO</t>
  </si>
  <si>
    <t>janv..25</t>
  </si>
  <si>
    <t>févr..25</t>
  </si>
  <si>
    <t>mars .25</t>
  </si>
  <si>
    <t>avr. .25</t>
  </si>
  <si>
    <t>mai  .25</t>
  </si>
  <si>
    <t>juin .25</t>
  </si>
  <si>
    <t>juil..25</t>
  </si>
  <si>
    <t>août .25</t>
  </si>
  <si>
    <t>sept..25</t>
  </si>
  <si>
    <t>oct. .25</t>
  </si>
  <si>
    <t>nov. .25</t>
  </si>
  <si>
    <t>déc. .25</t>
  </si>
  <si>
    <t>TOTAUX</t>
  </si>
  <si>
    <t>janv..24</t>
  </si>
  <si>
    <t>févr..24</t>
  </si>
  <si>
    <t>mars .24</t>
  </si>
  <si>
    <t>avr. .24</t>
  </si>
  <si>
    <t>mai  .24</t>
  </si>
  <si>
    <t>juin .24</t>
  </si>
  <si>
    <t>juil..24</t>
  </si>
  <si>
    <t>août .24</t>
  </si>
  <si>
    <t>sept..24</t>
  </si>
  <si>
    <t>oct. .24</t>
  </si>
  <si>
    <t>nov. .24</t>
  </si>
  <si>
    <t>déc. .24</t>
  </si>
  <si>
    <t>Volume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</si>
  <si>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</si>
  <si>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</si>
  <si>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</si>
  <si>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</si>
  <si>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</si>
  <si>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</si>
  <si>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</si>
  <si>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</si>
  <si>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</si>
  <si>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</si>
  <si>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</si>
  <si>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</si>
  <si>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</si>
  <si>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1 USD=</t>
  </si>
  <si>
    <t>1EUR=</t>
  </si>
  <si>
    <t>variation</t>
  </si>
  <si>
    <t>Valeur</t>
  </si>
  <si>
    <t>Indicateur</t>
  </si>
  <si>
    <t>Réalisations 2024</t>
  </si>
  <si>
    <t>Réalisations 2025</t>
  </si>
  <si>
    <t>Variation en valeur</t>
  </si>
  <si>
    <t>Variation en %</t>
  </si>
  <si>
    <t>Volume (Nombre d'opérations)</t>
  </si>
  <si>
    <t>Devise</t>
  </si>
  <si>
    <t>Volume 2025</t>
  </si>
  <si>
    <t>Valeur 2025 (en devises)</t>
  </si>
  <si>
    <t>Contre-valeur (Milliards GNF)</t>
  </si>
  <si>
    <t>Part de marché (en valeur)</t>
  </si>
  <si>
    <t xml:space="preserve">Valeur  </t>
  </si>
  <si>
    <t>Participant/
Banque</t>
  </si>
  <si>
    <t>Contribution des banques aux SNP</t>
  </si>
  <si>
    <t>Services Bureau</t>
  </si>
  <si>
    <t xml:space="preserve">Total </t>
  </si>
  <si>
    <t xml:space="preserve">Variation </t>
  </si>
  <si>
    <t>BCRG</t>
  </si>
  <si>
    <t>BICIGUI</t>
  </si>
  <si>
    <t>SGBG</t>
  </si>
  <si>
    <t>BIG</t>
  </si>
  <si>
    <t>ORABANK</t>
  </si>
  <si>
    <t>BPMG</t>
  </si>
  <si>
    <t>FBNBANK</t>
  </si>
  <si>
    <t>ECOBANK</t>
  </si>
  <si>
    <t>VISTA BANK</t>
  </si>
  <si>
    <t>SKYE BANK</t>
  </si>
  <si>
    <t>BSIC</t>
  </si>
  <si>
    <t>UBA</t>
  </si>
  <si>
    <t>NSIA</t>
  </si>
  <si>
    <t>BCI</t>
  </si>
  <si>
    <t>AFRICAN LEASE</t>
  </si>
  <si>
    <t>AFB</t>
  </si>
  <si>
    <t>BNG</t>
  </si>
  <si>
    <t>BNIG</t>
  </si>
  <si>
    <t>ACCESSBANK</t>
  </si>
  <si>
    <t>CORISBANK</t>
  </si>
  <si>
    <t>DIAMA BANK</t>
  </si>
  <si>
    <t>SFCI BANK</t>
  </si>
  <si>
    <t>Instrument</t>
  </si>
  <si>
    <t>Volume 2024</t>
  </si>
  <si>
    <t>Chèques</t>
  </si>
  <si>
    <t>Virements</t>
  </si>
  <si>
    <t>Lettre de change</t>
  </si>
  <si>
    <t xml:space="preserve">Chèques </t>
  </si>
  <si>
    <t>Total opérations</t>
  </si>
  <si>
    <t>Type d'instrument</t>
  </si>
  <si>
    <t>Valeur des Rejets (GNF)</t>
  </si>
  <si>
    <t xml:space="preserve">Nombre </t>
  </si>
  <si>
    <t xml:space="preserve">Taux </t>
  </si>
  <si>
    <t>Valeur 2024 (M GNF)</t>
  </si>
  <si>
    <t>Valeur 2025 (M GNF)</t>
  </si>
  <si>
    <t>Variation volume</t>
  </si>
  <si>
    <t>Variation valeur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</si>
</sst>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-* #,##0_-;\-* #,##0_-;_-* &quot;-&quot;??_-;_-@_-"/>
    <numFmt numFmtId="166" formatCode="_-* #,##0\ _€_-;\-* #,##0\ _€_-;_-* &quot;-&quot;??\ _€_-;_-@_-"/>
    <numFmt numFmtId="167" formatCode="_-* #,##0.000\ _€_-;\-* #,##0.000\ _€_-;_-* &quot;-&quot;??\ _€_-;_-@_-"/>
    <numFmt numFmtId="168" formatCode="#,##0.0000\ _€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Verdana"/>
      <family val="2"/>
    </font>
    <font>
      <sz val="8"/>
      <name val="Aptos Narrow"/>
      <family val="2"/>
      <scheme val="minor"/>
    </font>
    <font>
      <b/>
      <sz val="10"/>
      <color indexed="8"/>
      <name val="Verdana"/>
      <family val="2"/>
    </font>
    <font>
      <sz val="10"/>
      <color theme="1"/>
      <name val="Verdana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sz val="12"/>
      <color theme="1"/>
      <name val="Aptos Narrow"/>
      <family val="2"/>
      <scheme val="minor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>
      <alignment vertical="top"/>
    </xf>
    <xf numFmtId="164" fontId="6" fillId="0" borderId="0" applyFont="0" applyFill="0" applyBorder="0" applyAlignment="0" applyProtection="0">
      <alignment vertical="top"/>
    </xf>
  </cellStyleXfs>
  <cellXfs count="92">
    <xf numFmtId="0" fontId="0" fillId="0" borderId="0" xfId="0"/>
    <xf numFmtId="10" fontId="0" fillId="0" borderId="0" xfId="0" applyNumberFormat="1"/>
    <xf numFmtId="0" fontId="4" fillId="3" borderId="10" xfId="0" applyFont="1" applyFill="1" applyBorder="1" applyAlignment="1">
      <alignment horizontal="center" vertical="center"/>
    </xf>
    <xf numFmtId="0" fontId="4" fillId="3" borderId="0" xfId="1" applyNumberFormat="1" applyFont="1" applyFill="1" applyBorder="1" applyAlignment="1">
      <alignment horizontal="center" vertical="top" wrapText="1"/>
    </xf>
    <xf numFmtId="0" fontId="4" fillId="3" borderId="0" xfId="1" applyNumberFormat="1" applyFont="1" applyFill="1" applyBorder="1" applyAlignment="1">
      <alignment horizontal="right" vertical="top" wrapText="1"/>
    </xf>
    <xf numFmtId="0" fontId="5" fillId="0" borderId="0" xfId="0" applyFont="1"/>
    <xf numFmtId="0" fontId="2" fillId="3" borderId="7" xfId="0" applyFont="1" applyFill="1" applyBorder="1" applyAlignment="1">
      <alignment horizontal="center" vertical="top" wrapText="1"/>
    </xf>
    <xf numFmtId="166" fontId="2" fillId="3" borderId="0" xfId="1" applyNumberFormat="1" applyFont="1" applyFill="1" applyBorder="1" applyAlignment="1">
      <alignment horizontal="center" vertical="top" wrapText="1"/>
    </xf>
    <xf numFmtId="166" fontId="2" fillId="3" borderId="0" xfId="1" applyNumberFormat="1" applyFont="1" applyFill="1" applyBorder="1" applyAlignment="1">
      <alignment horizontal="right" vertical="top" wrapText="1"/>
    </xf>
    <xf numFmtId="10" fontId="2" fillId="3" borderId="0" xfId="2" applyNumberFormat="1" applyFont="1" applyFill="1" applyBorder="1" applyAlignment="1">
      <alignment horizontal="right" vertical="top" wrapText="1"/>
    </xf>
    <xf numFmtId="0" fontId="2" fillId="3" borderId="8" xfId="0" applyFont="1" applyFill="1" applyBorder="1" applyAlignment="1">
      <alignment horizontal="center" vertical="top" wrapText="1"/>
    </xf>
    <xf numFmtId="164" fontId="2" fillId="3" borderId="0" xfId="1" applyNumberFormat="1" applyFont="1" applyFill="1" applyBorder="1" applyAlignment="1">
      <alignment horizontal="center" vertical="top" wrapText="1"/>
    </xf>
    <xf numFmtId="167" fontId="2" fillId="3" borderId="0" xfId="1" applyNumberFormat="1" applyFont="1" applyFill="1" applyBorder="1" applyAlignment="1">
      <alignment horizontal="right" vertical="top" wrapText="1"/>
    </xf>
    <xf numFmtId="1" fontId="4" fillId="3" borderId="1" xfId="0" applyNumberFormat="1" applyFont="1" applyFill="1" applyBorder="1" applyAlignment="1">
      <alignment horizontal="center" vertical="top" wrapText="1"/>
    </xf>
    <xf numFmtId="165" fontId="2" fillId="3" borderId="0" xfId="1" applyNumberFormat="1" applyFont="1" applyFill="1" applyBorder="1" applyAlignment="1">
      <alignment horizontal="center" vertical="top" wrapText="1"/>
    </xf>
    <xf numFmtId="4" fontId="2" fillId="3" borderId="0" xfId="1" applyNumberFormat="1" applyFont="1" applyFill="1" applyBorder="1" applyAlignment="1">
      <alignment horizontal="right" vertical="top" wrapText="1"/>
    </xf>
    <xf numFmtId="1" fontId="2" fillId="3" borderId="0" xfId="1" applyNumberFormat="1" applyFont="1" applyFill="1" applyBorder="1" applyAlignment="1">
      <alignment horizontal="center" vertical="top" wrapText="1"/>
    </xf>
    <xf numFmtId="10" fontId="2" fillId="3" borderId="0" xfId="2" applyNumberFormat="1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 readingOrder="1"/>
    </xf>
    <xf numFmtId="165" fontId="4" fillId="3" borderId="3" xfId="1" applyNumberFormat="1" applyFont="1" applyFill="1" applyBorder="1" applyAlignment="1">
      <alignment horizontal="center" vertical="top" wrapText="1"/>
    </xf>
    <xf numFmtId="4" fontId="4" fillId="3" borderId="9" xfId="1" applyNumberFormat="1" applyFont="1" applyFill="1" applyBorder="1" applyAlignment="1">
      <alignment horizontal="right" vertical="top" wrapText="1"/>
    </xf>
    <xf numFmtId="165" fontId="4" fillId="3" borderId="9" xfId="1" applyNumberFormat="1" applyFont="1" applyFill="1" applyBorder="1" applyAlignment="1">
      <alignment horizontal="center" vertical="top" wrapText="1"/>
    </xf>
    <xf numFmtId="10" fontId="4" fillId="3" borderId="9" xfId="2" applyNumberFormat="1" applyFont="1" applyFill="1" applyBorder="1" applyAlignment="1">
      <alignment horizontal="right" vertical="top" wrapText="1"/>
    </xf>
    <xf numFmtId="0" fontId="4" fillId="3" borderId="0" xfId="1" applyNumberFormat="1" applyFont="1" applyFill="1" applyBorder="1" applyAlignment="1">
      <alignment horizontal="center" vertical="center" wrapText="1"/>
    </xf>
    <xf numFmtId="0" fontId="4" fillId="3" borderId="0" xfId="1" applyNumberFormat="1" applyFont="1" applyFill="1" applyBorder="1" applyAlignment="1">
      <alignment horizontal="right" vertical="center" wrapText="1"/>
    </xf>
    <xf numFmtId="0" fontId="2" fillId="3" borderId="7" xfId="1" applyNumberFormat="1" applyFont="1" applyFill="1" applyBorder="1" applyAlignment="1">
      <alignment horizontal="right" vertical="top" wrapText="1"/>
    </xf>
    <xf numFmtId="0" fontId="2" fillId="3" borderId="8" xfId="1" applyNumberFormat="1" applyFont="1" applyFill="1" applyBorder="1" applyAlignment="1">
      <alignment horizontal="right" vertical="top" wrapText="1"/>
    </xf>
    <xf numFmtId="0" fontId="4" fillId="3" borderId="7" xfId="1" applyNumberFormat="1" applyFont="1" applyFill="1" applyBorder="1" applyAlignment="1">
      <alignment horizontal="right" vertical="center" wrapText="1"/>
    </xf>
    <xf numFmtId="166" fontId="4" fillId="3" borderId="9" xfId="1" applyNumberFormat="1" applyFont="1" applyFill="1" applyBorder="1" applyAlignment="1">
      <alignment horizontal="right" vertical="center" wrapText="1"/>
    </xf>
    <xf numFmtId="167" fontId="4" fillId="3" borderId="9" xfId="1" applyNumberFormat="1" applyFont="1" applyFill="1" applyBorder="1" applyAlignment="1">
      <alignment horizontal="right" vertical="center" wrapText="1"/>
    </xf>
    <xf numFmtId="9" fontId="4" fillId="3" borderId="9" xfId="2" applyFont="1" applyFill="1" applyBorder="1" applyAlignment="1">
      <alignment horizontal="right" vertical="center" wrapText="1"/>
    </xf>
    <xf numFmtId="168" fontId="4" fillId="3" borderId="9" xfId="1" applyNumberFormat="1" applyFont="1" applyFill="1" applyBorder="1" applyAlignment="1">
      <alignment horizontal="left" vertical="center" wrapText="1"/>
    </xf>
    <xf numFmtId="3" fontId="0" fillId="0" borderId="0" xfId="0" applyNumberFormat="1"/>
    <xf numFmtId="1" fontId="4" fillId="2" borderId="1" xfId="0" applyNumberFormat="1" applyFont="1" applyFill="1" applyBorder="1" applyAlignment="1">
      <alignment horizontal="right" vertical="top" wrapText="1"/>
    </xf>
    <xf numFmtId="0" fontId="2" fillId="2" borderId="7" xfId="0" applyFont="1" applyFill="1" applyBorder="1" applyAlignment="1">
      <alignment vertical="top"/>
    </xf>
    <xf numFmtId="166" fontId="2" fillId="2" borderId="0" xfId="1" applyNumberFormat="1" applyFont="1" applyFill="1" applyBorder="1" applyAlignment="1">
      <alignment horizontal="right" vertical="top" wrapText="1"/>
    </xf>
    <xf numFmtId="0" fontId="2" fillId="2" borderId="8" xfId="0" applyFont="1" applyFill="1" applyBorder="1" applyAlignment="1">
      <alignment vertical="top"/>
    </xf>
    <xf numFmtId="3" fontId="2" fillId="2" borderId="0" xfId="1" applyNumberFormat="1" applyFont="1" applyFill="1" applyBorder="1" applyAlignment="1">
      <alignment horizontal="right" vertical="top" wrapText="1"/>
    </xf>
    <xf numFmtId="166" fontId="2" fillId="2" borderId="0" xfId="1" applyNumberFormat="1" applyFont="1" applyFill="1" applyAlignment="1">
      <alignment horizontal="right" vertical="top" wrapText="1"/>
    </xf>
    <xf numFmtId="3" fontId="2" fillId="2" borderId="0" xfId="1" applyNumberFormat="1" applyFont="1" applyFill="1" applyAlignment="1">
      <alignment horizontal="right" vertical="top" wrapText="1"/>
    </xf>
    <xf numFmtId="10" fontId="2" fillId="2" borderId="0" xfId="2" applyNumberFormat="1" applyFont="1" applyFill="1" applyBorder="1" applyAlignment="1">
      <alignment horizontal="right" vertical="top" wrapText="1"/>
    </xf>
    <xf numFmtId="166" fontId="4" fillId="2" borderId="9" xfId="1" applyNumberFormat="1" applyFont="1" applyFill="1" applyBorder="1" applyAlignment="1">
      <alignment horizontal="right" vertical="top" wrapText="1"/>
    </xf>
    <xf numFmtId="10" fontId="4" fillId="2" borderId="9" xfId="2" applyNumberFormat="1" applyFont="1" applyFill="1" applyBorder="1" applyAlignment="1">
      <alignment horizontal="right" vertical="top" wrapText="1"/>
    </xf>
    <xf numFmtId="2" fontId="4" fillId="2" borderId="1" xfId="0" applyNumberFormat="1" applyFont="1" applyFill="1" applyBorder="1" applyAlignment="1">
      <alignment horizontal="right" vertical="top" wrapText="1"/>
    </xf>
    <xf numFmtId="10" fontId="4" fillId="3" borderId="9" xfId="2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vertical="top"/>
    </xf>
    <xf numFmtId="0" fontId="2" fillId="3" borderId="0" xfId="0" applyFont="1" applyFill="1" applyAlignment="1">
      <alignment horizontal="center" vertical="top" wrapText="1"/>
    </xf>
    <xf numFmtId="0" fontId="4" fillId="3" borderId="9" xfId="0" applyFont="1" applyFill="1" applyBorder="1" applyAlignment="1">
      <alignment horizontal="center" vertical="top" wrapText="1" readingOrder="1"/>
    </xf>
    <xf numFmtId="166" fontId="4" fillId="3" borderId="9" xfId="1" applyNumberFormat="1" applyFont="1" applyFill="1" applyBorder="1" applyAlignment="1">
      <alignment horizontal="center" vertical="top" wrapText="1"/>
    </xf>
    <xf numFmtId="164" fontId="4" fillId="3" borderId="9" xfId="1" applyNumberFormat="1" applyFont="1" applyFill="1" applyBorder="1" applyAlignment="1">
      <alignment horizontal="center" vertical="top" wrapText="1"/>
    </xf>
    <xf numFmtId="3" fontId="2" fillId="3" borderId="0" xfId="1" applyNumberFormat="1" applyFont="1" applyFill="1" applyBorder="1" applyAlignment="1">
      <alignment horizontal="right" vertical="top" wrapText="1"/>
    </xf>
    <xf numFmtId="3" fontId="4" fillId="3" borderId="9" xfId="1" applyNumberFormat="1" applyFont="1" applyFill="1" applyBorder="1" applyAlignment="1">
      <alignment horizontal="center" vertical="top" wrapText="1"/>
    </xf>
    <xf numFmtId="165" fontId="8" fillId="2" borderId="0" xfId="1" applyNumberFormat="1" applyFont="1" applyFill="1" applyBorder="1" applyAlignment="1">
      <alignment horizontal="right" vertical="top" wrapText="1"/>
    </xf>
    <xf numFmtId="3" fontId="8" fillId="2" borderId="0" xfId="1" applyNumberFormat="1" applyFont="1" applyFill="1" applyBorder="1" applyAlignment="1">
      <alignment horizontal="right" vertical="top" wrapText="1"/>
    </xf>
    <xf numFmtId="3" fontId="8" fillId="2" borderId="0" xfId="0" applyNumberFormat="1" applyFont="1" applyFill="1" applyAlignment="1">
      <alignment horizontal="right" vertical="top" wrapText="1"/>
    </xf>
    <xf numFmtId="0" fontId="8" fillId="2" borderId="0" xfId="0" applyFont="1" applyFill="1" applyAlignment="1">
      <alignment horizontal="right" vertical="top" wrapText="1"/>
    </xf>
    <xf numFmtId="166" fontId="8" fillId="2" borderId="0" xfId="1" applyNumberFormat="1" applyFont="1" applyFill="1" applyBorder="1" applyAlignment="1">
      <alignment horizontal="right" vertical="top" wrapText="1"/>
    </xf>
    <xf numFmtId="165" fontId="9" fillId="2" borderId="9" xfId="1" applyNumberFormat="1" applyFont="1" applyFill="1" applyBorder="1" applyAlignment="1">
      <alignment horizontal="right" vertical="top" wrapText="1"/>
    </xf>
    <xf numFmtId="166" fontId="9" fillId="2" borderId="9" xfId="1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vertical="top"/>
    </xf>
    <xf numFmtId="1" fontId="12" fillId="3" borderId="1" xfId="0" applyNumberFormat="1" applyFont="1" applyFill="1" applyBorder="1" applyAlignment="1">
      <alignment horizontal="center" vertical="top" wrapText="1"/>
    </xf>
    <xf numFmtId="0" fontId="11" fillId="3" borderId="0" xfId="0" applyFont="1" applyFill="1" applyAlignment="1">
      <alignment horizontal="center" vertical="top" wrapText="1"/>
    </xf>
    <xf numFmtId="1" fontId="11" fillId="3" borderId="0" xfId="1" applyNumberFormat="1" applyFont="1" applyFill="1" applyBorder="1" applyAlignment="1">
      <alignment horizontal="center" vertical="top" wrapText="1"/>
    </xf>
    <xf numFmtId="4" fontId="11" fillId="3" borderId="0" xfId="1" applyNumberFormat="1" applyFont="1" applyFill="1" applyBorder="1" applyAlignment="1">
      <alignment horizontal="right" vertical="top" wrapText="1"/>
    </xf>
    <xf numFmtId="0" fontId="12" fillId="3" borderId="9" xfId="0" applyFont="1" applyFill="1" applyBorder="1" applyAlignment="1">
      <alignment horizontal="center" vertical="top" wrapText="1" readingOrder="1"/>
    </xf>
    <xf numFmtId="166" fontId="12" fillId="3" borderId="9" xfId="1" applyNumberFormat="1" applyFont="1" applyFill="1" applyBorder="1" applyAlignment="1">
      <alignment horizontal="center" vertical="top" wrapText="1"/>
    </xf>
    <xf numFmtId="43" fontId="12" fillId="3" borderId="9" xfId="1" applyFont="1" applyFill="1" applyBorder="1" applyAlignment="1">
      <alignment horizontal="center" vertical="top" wrapText="1"/>
    </xf>
    <xf numFmtId="164" fontId="12" fillId="3" borderId="9" xfId="1" applyNumberFormat="1" applyFont="1" applyFill="1" applyBorder="1" applyAlignment="1">
      <alignment horizontal="center" vertical="top" wrapText="1"/>
    </xf>
    <xf numFmtId="0" fontId="10" fillId="0" borderId="0" xfId="0" applyFont="1"/>
    <xf numFmtId="166" fontId="12" fillId="3" borderId="9" xfId="1" applyNumberFormat="1" applyFont="1" applyFill="1" applyBorder="1" applyAlignment="1">
      <alignment horizontal="right" vertical="center" wrapText="1"/>
    </xf>
    <xf numFmtId="168" fontId="12" fillId="3" borderId="9" xfId="1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3" borderId="7" xfId="1" applyNumberFormat="1" applyFont="1" applyFill="1" applyBorder="1" applyAlignment="1">
      <alignment horizontal="center" vertical="top" wrapText="1"/>
    </xf>
    <xf numFmtId="0" fontId="2" fillId="3" borderId="10" xfId="1" applyNumberFormat="1" applyFont="1" applyFill="1" applyBorder="1" applyAlignment="1">
      <alignment horizontal="center" vertical="top" wrapText="1"/>
    </xf>
    <xf numFmtId="0" fontId="4" fillId="3" borderId="0" xfId="1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center" vertical="top"/>
    </xf>
    <xf numFmtId="0" fontId="11" fillId="3" borderId="6" xfId="0" applyFont="1" applyFill="1" applyBorder="1" applyAlignment="1">
      <alignment horizontal="center" vertical="top"/>
    </xf>
    <xf numFmtId="0" fontId="4" fillId="3" borderId="9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6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</cellXfs>
  <cellStyles count="5">
    <cellStyle name="Milliers" xfId="1" builtinId="3"/>
    <cellStyle name="Milliers 2" xfId="4" xr:uid="{EBC844C3-2B94-4D27-88E4-86A581942E08}"/>
    <cellStyle name="Normal" xfId="0" builtinId="0"/>
    <cellStyle name="Normal 2" xfId="3" xr:uid="{D1EC57A6-6B59-474C-98E5-ED90D78C04C4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625AA-60F0-4674-B96C-83AD32D73EE3}">
  <dimension ref="A1:G5"/>
  <sheetViews>
    <sheetView workbookViewId="0">
      <selection activeCell="B3" sqref="A1:G5"/>
    </sheetView>
  </sheetViews>
  <sheetFormatPr baseColWidth="10" defaultRowHeight="14.5" x14ac:dyDescent="0.35"/>
  <cols>
    <col min="1" max="1" width="18.1796875" customWidth="1"/>
    <col min="2" max="2" width="15.453125" customWidth="1"/>
    <col min="3" max="3" width="19.90625" customWidth="1"/>
    <col min="4" max="4" width="17.1796875" customWidth="1"/>
    <col min="5" max="5" width="23.453125" customWidth="1"/>
    <col min="6" max="6" width="24.1796875" customWidth="1"/>
    <col min="7" max="8" width="23" bestFit="1" customWidth="1"/>
    <col min="9" max="9" width="10.7265625" bestFit="1" customWidth="1"/>
  </cols>
  <sheetData>
    <row r="1" spans="1:7" ht="27" x14ac:dyDescent="0.35">
      <c r="A1" s="2" t="s">
        <v>91</v>
      </c>
      <c r="B1" s="23" t="s">
        <v>92</v>
      </c>
      <c r="C1" s="24" t="s">
        <v>59</v>
      </c>
      <c r="D1" s="24" t="s">
        <v>104</v>
      </c>
      <c r="E1" s="23" t="s">
        <v>102</v>
      </c>
      <c r="F1" s="24" t="s">
        <v>103</v>
      </c>
      <c r="G1" s="24" t="s">
        <v>105</v>
      </c>
    </row>
    <row r="2" spans="1:7" x14ac:dyDescent="0.35">
      <c r="A2" s="25" t="s">
        <v>93</v>
      </c>
      <c r="B2" s="8">
        <v>336518</v>
      </c>
      <c r="C2" s="8">
        <v>409712</v>
      </c>
      <c r="D2" s="9">
        <f>(C2-B2)/B2</f>
        <v>0.21750396709834244</v>
      </c>
      <c r="E2" s="8">
        <v>55139.798319987996</v>
      </c>
      <c r="F2" s="8">
        <v>86947.811079941996</v>
      </c>
      <c r="G2" s="9">
        <f>(F2-E2)/E2</f>
        <v>0.57686124594372512</v>
      </c>
    </row>
    <row r="3" spans="1:7" x14ac:dyDescent="0.35">
      <c r="A3" s="26" t="s">
        <v>94</v>
      </c>
      <c r="B3" s="8">
        <v>469632</v>
      </c>
      <c r="C3" s="8">
        <v>520778</v>
      </c>
      <c r="D3" s="9">
        <f t="shared" ref="D3:D4" si="0">(C3-B3)/B3</f>
        <v>0.10890654810575089</v>
      </c>
      <c r="E3" s="8">
        <v>13602.794919245</v>
      </c>
      <c r="F3" s="8">
        <v>16586.713360623999</v>
      </c>
      <c r="G3" s="9">
        <f t="shared" ref="G3:G4" si="1">(F3-E3)/E3</f>
        <v>0.21936068720387769</v>
      </c>
    </row>
    <row r="4" spans="1:7" x14ac:dyDescent="0.35">
      <c r="A4" s="26" t="s">
        <v>95</v>
      </c>
      <c r="B4" s="8">
        <v>1196</v>
      </c>
      <c r="C4" s="8">
        <v>1183</v>
      </c>
      <c r="D4" s="9">
        <f t="shared" si="0"/>
        <v>-1.0869565217391304E-2</v>
      </c>
      <c r="E4" s="8">
        <v>860.65760397899999</v>
      </c>
      <c r="F4" s="8">
        <v>768.22386110699995</v>
      </c>
      <c r="G4" s="9">
        <f t="shared" si="1"/>
        <v>-0.10739897311620733</v>
      </c>
    </row>
    <row r="5" spans="1:7" x14ac:dyDescent="0.35">
      <c r="A5" s="27" t="s">
        <v>47</v>
      </c>
      <c r="B5" s="28">
        <v>807346</v>
      </c>
      <c r="C5" s="28">
        <v>931673</v>
      </c>
      <c r="D5" s="44">
        <f>(C5-B5)/B5</f>
        <v>0.15399469372487137</v>
      </c>
      <c r="E5" s="28">
        <v>69603.250843211994</v>
      </c>
      <c r="F5" s="28">
        <v>104302.748301673</v>
      </c>
      <c r="G5" s="44">
        <f>(F5-E5)/E5</f>
        <v>0.49853271274103206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C732D-A704-4F16-A94C-8B7E22DF3D07}">
  <dimension ref="A1:R25"/>
  <sheetViews>
    <sheetView zoomScale="80" zoomScaleNormal="80" workbookViewId="0">
      <selection activeCell="H9" sqref="H9"/>
    </sheetView>
  </sheetViews>
  <sheetFormatPr baseColWidth="10" defaultRowHeight="14.5" x14ac:dyDescent="0.35"/>
  <cols>
    <col min="1" max="1" width="6.6328125" customWidth="1"/>
    <col min="2" max="2" width="20.90625" customWidth="1"/>
    <col min="3" max="3" width="15" customWidth="1"/>
    <col min="4" max="4" width="33.1796875" customWidth="1"/>
    <col min="5" max="5" width="17.08984375" customWidth="1"/>
    <col min="6" max="6" width="32.453125" customWidth="1"/>
    <col min="7" max="7" width="14.6328125" customWidth="1"/>
    <col min="8" max="8" width="27.453125" customWidth="1"/>
    <col min="9" max="9" width="18.6328125" customWidth="1"/>
    <col min="10" max="10" width="32.7265625" customWidth="1"/>
    <col min="13" max="13" width="13.26953125" bestFit="1" customWidth="1"/>
    <col min="14" max="14" width="15.7265625" bestFit="1" customWidth="1"/>
    <col min="15" max="15" width="14.26953125" bestFit="1" customWidth="1"/>
    <col min="17" max="17" width="12.26953125" bestFit="1" customWidth="1"/>
  </cols>
  <sheetData>
    <row r="1" spans="1:18" ht="15" customHeight="1" x14ac:dyDescent="0.35">
      <c r="A1" s="73" t="s">
        <v>0</v>
      </c>
      <c r="B1" s="75" t="s">
        <v>64</v>
      </c>
      <c r="C1" s="71" t="s">
        <v>96</v>
      </c>
      <c r="D1" s="71"/>
      <c r="E1" s="71" t="s">
        <v>94</v>
      </c>
      <c r="F1" s="71"/>
      <c r="G1" s="71" t="s">
        <v>95</v>
      </c>
      <c r="H1" s="71"/>
      <c r="I1" s="71" t="s">
        <v>97</v>
      </c>
      <c r="J1" s="71"/>
    </row>
    <row r="2" spans="1:18" x14ac:dyDescent="0.35">
      <c r="A2" s="74"/>
      <c r="B2" s="76"/>
      <c r="C2" s="43" t="s">
        <v>4</v>
      </c>
      <c r="D2" s="43" t="s">
        <v>5</v>
      </c>
      <c r="E2" s="43" t="s">
        <v>4</v>
      </c>
      <c r="F2" s="43" t="s">
        <v>5</v>
      </c>
      <c r="G2" s="43" t="s">
        <v>4</v>
      </c>
      <c r="H2" s="43" t="s">
        <v>5</v>
      </c>
      <c r="I2" s="43" t="s">
        <v>4</v>
      </c>
      <c r="J2" s="43" t="s">
        <v>5</v>
      </c>
    </row>
    <row r="3" spans="1:18" ht="15.75" customHeight="1" x14ac:dyDescent="0.35">
      <c r="A3" s="34">
        <v>1</v>
      </c>
      <c r="B3" s="34" t="s">
        <v>69</v>
      </c>
      <c r="C3" s="52">
        <v>6668</v>
      </c>
      <c r="D3" s="53">
        <v>728602949010</v>
      </c>
      <c r="E3" s="53">
        <v>34608</v>
      </c>
      <c r="F3" s="54">
        <v>782223624341</v>
      </c>
      <c r="G3" s="55"/>
      <c r="H3" s="54"/>
      <c r="I3" s="56">
        <v>41276</v>
      </c>
      <c r="J3" s="56">
        <v>1510826573351</v>
      </c>
    </row>
    <row r="4" spans="1:18" x14ac:dyDescent="0.35">
      <c r="A4" s="36">
        <v>2</v>
      </c>
      <c r="B4" s="36" t="s">
        <v>70</v>
      </c>
      <c r="C4" s="52">
        <v>30344</v>
      </c>
      <c r="D4" s="53">
        <v>6084913528973</v>
      </c>
      <c r="E4" s="53">
        <v>63376</v>
      </c>
      <c r="F4" s="54">
        <v>1030716162501</v>
      </c>
      <c r="G4" s="55">
        <v>228</v>
      </c>
      <c r="H4" s="54">
        <v>83685897184</v>
      </c>
      <c r="I4" s="56">
        <v>93948</v>
      </c>
      <c r="J4" s="56">
        <v>7199315588658</v>
      </c>
    </row>
    <row r="5" spans="1:18" ht="15.75" customHeight="1" x14ac:dyDescent="0.35">
      <c r="A5" s="36">
        <v>3</v>
      </c>
      <c r="B5" s="36" t="s">
        <v>71</v>
      </c>
      <c r="C5" s="52">
        <v>43268</v>
      </c>
      <c r="D5" s="53">
        <v>9575034689648</v>
      </c>
      <c r="E5" s="53">
        <v>120317</v>
      </c>
      <c r="F5" s="54">
        <v>3453465343561</v>
      </c>
      <c r="G5" s="55">
        <v>360</v>
      </c>
      <c r="H5" s="54">
        <v>74110159600</v>
      </c>
      <c r="I5" s="56">
        <v>163945</v>
      </c>
      <c r="J5" s="56">
        <v>13102610192809</v>
      </c>
    </row>
    <row r="6" spans="1:18" x14ac:dyDescent="0.35">
      <c r="A6" s="36">
        <v>4</v>
      </c>
      <c r="B6" s="36" t="s">
        <v>72</v>
      </c>
      <c r="C6" s="52">
        <v>18892</v>
      </c>
      <c r="D6" s="53">
        <v>2681137120055</v>
      </c>
      <c r="E6" s="53">
        <v>14523</v>
      </c>
      <c r="F6" s="54">
        <v>385916647554</v>
      </c>
      <c r="G6" s="55">
        <v>1</v>
      </c>
      <c r="H6" s="54">
        <v>21807088823</v>
      </c>
      <c r="I6" s="56">
        <v>33416</v>
      </c>
      <c r="J6" s="56">
        <v>3088860856432</v>
      </c>
    </row>
    <row r="7" spans="1:18" x14ac:dyDescent="0.35">
      <c r="A7" s="36">
        <v>5</v>
      </c>
      <c r="B7" s="36" t="s">
        <v>73</v>
      </c>
      <c r="C7" s="52">
        <v>35386</v>
      </c>
      <c r="D7" s="53">
        <v>5187251057515</v>
      </c>
      <c r="E7" s="53">
        <v>17620</v>
      </c>
      <c r="F7" s="54">
        <v>807599491179</v>
      </c>
      <c r="G7" s="55">
        <v>67</v>
      </c>
      <c r="H7" s="54">
        <v>42768665048</v>
      </c>
      <c r="I7" s="56">
        <v>53073</v>
      </c>
      <c r="J7" s="56">
        <v>6037619213742</v>
      </c>
    </row>
    <row r="8" spans="1:18" x14ac:dyDescent="0.35">
      <c r="A8" s="36">
        <v>6</v>
      </c>
      <c r="B8" s="36" t="s">
        <v>74</v>
      </c>
      <c r="C8" s="52">
        <v>16567</v>
      </c>
      <c r="D8" s="53">
        <v>3414394181530</v>
      </c>
      <c r="E8" s="53">
        <v>12127</v>
      </c>
      <c r="F8" s="54">
        <v>417560714022</v>
      </c>
      <c r="G8" s="55">
        <v>4</v>
      </c>
      <c r="H8" s="54">
        <v>35146625249</v>
      </c>
      <c r="I8" s="56">
        <v>28698</v>
      </c>
      <c r="J8" s="56">
        <v>3867101520801</v>
      </c>
    </row>
    <row r="9" spans="1:18" x14ac:dyDescent="0.35">
      <c r="A9" s="36">
        <v>7</v>
      </c>
      <c r="B9" s="36" t="s">
        <v>75</v>
      </c>
      <c r="C9" s="52">
        <v>26562</v>
      </c>
      <c r="D9" s="53">
        <v>3827610871623</v>
      </c>
      <c r="E9" s="53">
        <v>50019</v>
      </c>
      <c r="F9" s="54">
        <v>1032416517434</v>
      </c>
      <c r="G9" s="55">
        <v>15</v>
      </c>
      <c r="H9" s="54">
        <v>133924076828</v>
      </c>
      <c r="I9" s="56">
        <v>76596</v>
      </c>
      <c r="J9" s="56">
        <v>4993951465885</v>
      </c>
      <c r="M9" s="32"/>
      <c r="Q9" s="32"/>
    </row>
    <row r="10" spans="1:18" x14ac:dyDescent="0.35">
      <c r="A10" s="36">
        <v>8</v>
      </c>
      <c r="B10" s="36" t="s">
        <v>76</v>
      </c>
      <c r="C10" s="52">
        <v>67931</v>
      </c>
      <c r="D10" s="53">
        <v>16845947441493</v>
      </c>
      <c r="E10" s="53">
        <v>145015</v>
      </c>
      <c r="F10" s="54">
        <v>4365303560153</v>
      </c>
      <c r="G10" s="55">
        <v>14</v>
      </c>
      <c r="H10" s="54">
        <v>83311887056</v>
      </c>
      <c r="I10" s="56">
        <v>212960</v>
      </c>
      <c r="J10" s="56">
        <v>21294562888702</v>
      </c>
      <c r="N10" s="32"/>
    </row>
    <row r="11" spans="1:18" x14ac:dyDescent="0.35">
      <c r="A11" s="36">
        <v>9</v>
      </c>
      <c r="B11" s="36" t="s">
        <v>77</v>
      </c>
      <c r="C11" s="52">
        <v>19117</v>
      </c>
      <c r="D11" s="53">
        <v>3519164652476</v>
      </c>
      <c r="E11" s="53">
        <v>7125</v>
      </c>
      <c r="F11" s="54">
        <v>358249601790</v>
      </c>
      <c r="G11" s="54">
        <v>0</v>
      </c>
      <c r="H11" s="54">
        <v>0</v>
      </c>
      <c r="I11" s="56">
        <v>26242</v>
      </c>
      <c r="J11" s="56">
        <v>3877414254266</v>
      </c>
    </row>
    <row r="12" spans="1:18" x14ac:dyDescent="0.35">
      <c r="A12" s="36">
        <v>10</v>
      </c>
      <c r="B12" s="36" t="s">
        <v>78</v>
      </c>
      <c r="C12" s="52">
        <v>17199</v>
      </c>
      <c r="D12" s="53">
        <v>6213252738744</v>
      </c>
      <c r="E12" s="53">
        <v>3870</v>
      </c>
      <c r="F12" s="54">
        <v>392872565334</v>
      </c>
      <c r="G12" s="55">
        <v>1</v>
      </c>
      <c r="H12" s="54">
        <v>1000000000</v>
      </c>
      <c r="I12" s="56">
        <v>21070</v>
      </c>
      <c r="J12" s="56">
        <v>6607125304078</v>
      </c>
      <c r="M12" s="32"/>
      <c r="R12" s="32"/>
    </row>
    <row r="13" spans="1:18" x14ac:dyDescent="0.35">
      <c r="A13" s="36">
        <v>11</v>
      </c>
      <c r="B13" s="36" t="s">
        <v>79</v>
      </c>
      <c r="C13" s="52">
        <v>18890</v>
      </c>
      <c r="D13" s="53">
        <v>4321269561113</v>
      </c>
      <c r="E13" s="53">
        <v>6148</v>
      </c>
      <c r="F13" s="54">
        <v>325410679204</v>
      </c>
      <c r="G13" s="55">
        <v>6</v>
      </c>
      <c r="H13" s="54">
        <v>14118393006</v>
      </c>
      <c r="I13" s="56">
        <v>25044</v>
      </c>
      <c r="J13" s="56">
        <v>4660798633323</v>
      </c>
      <c r="N13" s="32"/>
    </row>
    <row r="14" spans="1:18" x14ac:dyDescent="0.35">
      <c r="A14" s="36">
        <v>12</v>
      </c>
      <c r="B14" s="36" t="s">
        <v>80</v>
      </c>
      <c r="C14" s="52">
        <v>31284</v>
      </c>
      <c r="D14" s="53">
        <v>5648211037530</v>
      </c>
      <c r="E14" s="53">
        <v>7354</v>
      </c>
      <c r="F14" s="54">
        <v>747127592155</v>
      </c>
      <c r="G14" s="54">
        <v>0</v>
      </c>
      <c r="H14" s="54">
        <v>0</v>
      </c>
      <c r="I14" s="56">
        <v>38638</v>
      </c>
      <c r="J14" s="56">
        <v>6395338629685</v>
      </c>
    </row>
    <row r="15" spans="1:18" x14ac:dyDescent="0.35">
      <c r="A15" s="36">
        <v>13</v>
      </c>
      <c r="B15" s="36" t="s">
        <v>81</v>
      </c>
      <c r="C15" s="52">
        <v>10977</v>
      </c>
      <c r="D15" s="53">
        <v>2118114513090</v>
      </c>
      <c r="E15" s="53">
        <v>5204</v>
      </c>
      <c r="F15" s="54">
        <v>187824150474</v>
      </c>
      <c r="G15" s="55">
        <v>10</v>
      </c>
      <c r="H15" s="54">
        <v>40449383985</v>
      </c>
      <c r="I15" s="56">
        <v>16191</v>
      </c>
      <c r="J15" s="56">
        <v>2346388047549</v>
      </c>
      <c r="M15" s="32"/>
    </row>
    <row r="16" spans="1:18" x14ac:dyDescent="0.35">
      <c r="A16" s="36">
        <v>14</v>
      </c>
      <c r="B16" s="36" t="s">
        <v>82</v>
      </c>
      <c r="C16" s="52">
        <v>23057</v>
      </c>
      <c r="D16" s="53">
        <v>4372619013206</v>
      </c>
      <c r="E16" s="53">
        <v>12245</v>
      </c>
      <c r="F16" s="54">
        <v>1833129194244</v>
      </c>
      <c r="G16" s="55">
        <v>9</v>
      </c>
      <c r="H16" s="54">
        <v>37715817508</v>
      </c>
      <c r="I16" s="56">
        <v>35311</v>
      </c>
      <c r="J16" s="56">
        <v>6243464024958</v>
      </c>
      <c r="M16" s="32"/>
    </row>
    <row r="17" spans="1:17" x14ac:dyDescent="0.35">
      <c r="A17" s="36">
        <v>15</v>
      </c>
      <c r="B17" s="36" t="s">
        <v>83</v>
      </c>
      <c r="C17" s="52">
        <v>0</v>
      </c>
      <c r="D17" s="52">
        <v>0</v>
      </c>
      <c r="E17" s="53">
        <v>52</v>
      </c>
      <c r="F17" s="54">
        <v>17318553921</v>
      </c>
      <c r="G17" s="54">
        <v>0</v>
      </c>
      <c r="H17" s="54">
        <v>0</v>
      </c>
      <c r="I17" s="56">
        <v>52</v>
      </c>
      <c r="J17" s="56">
        <v>17318553921</v>
      </c>
      <c r="N17" s="32"/>
      <c r="Q17" s="32"/>
    </row>
    <row r="18" spans="1:17" x14ac:dyDescent="0.35">
      <c r="A18" s="36">
        <v>16</v>
      </c>
      <c r="B18" s="36" t="s">
        <v>84</v>
      </c>
      <c r="C18" s="52">
        <v>9146</v>
      </c>
      <c r="D18" s="53">
        <v>1976009157656</v>
      </c>
      <c r="E18" s="53">
        <v>6097</v>
      </c>
      <c r="F18" s="54">
        <v>64025890898</v>
      </c>
      <c r="G18" s="55">
        <v>1</v>
      </c>
      <c r="H18" s="54">
        <v>1700000000</v>
      </c>
      <c r="I18" s="56">
        <v>15244</v>
      </c>
      <c r="J18" s="56">
        <v>2041735048554</v>
      </c>
      <c r="M18" s="32"/>
    </row>
    <row r="19" spans="1:17" x14ac:dyDescent="0.35">
      <c r="A19" s="36">
        <v>17</v>
      </c>
      <c r="B19" s="36" t="s">
        <v>85</v>
      </c>
      <c r="C19" s="52">
        <v>9864</v>
      </c>
      <c r="D19" s="53">
        <v>2564492241672</v>
      </c>
      <c r="E19" s="53">
        <v>520</v>
      </c>
      <c r="F19" s="54">
        <v>17728344585</v>
      </c>
      <c r="G19" s="55">
        <v>13</v>
      </c>
      <c r="H19" s="54">
        <v>130916391759</v>
      </c>
      <c r="I19" s="56">
        <v>10397</v>
      </c>
      <c r="J19" s="56">
        <v>2713136978016</v>
      </c>
      <c r="M19" s="32"/>
    </row>
    <row r="20" spans="1:17" x14ac:dyDescent="0.35">
      <c r="A20" s="36">
        <v>18</v>
      </c>
      <c r="B20" s="36" t="s">
        <v>86</v>
      </c>
      <c r="C20" s="52">
        <v>111</v>
      </c>
      <c r="D20" s="53">
        <v>42117704898</v>
      </c>
      <c r="E20" s="53">
        <v>54</v>
      </c>
      <c r="F20" s="54">
        <v>5479118538</v>
      </c>
      <c r="G20" s="54">
        <v>0</v>
      </c>
      <c r="H20" s="54">
        <v>0</v>
      </c>
      <c r="I20" s="56">
        <v>165</v>
      </c>
      <c r="J20" s="56">
        <v>47596823436</v>
      </c>
    </row>
    <row r="21" spans="1:17" x14ac:dyDescent="0.35">
      <c r="A21" s="36">
        <v>19</v>
      </c>
      <c r="B21" s="36" t="s">
        <v>87</v>
      </c>
      <c r="C21" s="52">
        <v>9436</v>
      </c>
      <c r="D21" s="53">
        <v>2305957508206</v>
      </c>
      <c r="E21" s="53">
        <v>9422</v>
      </c>
      <c r="F21" s="54">
        <v>82990874719</v>
      </c>
      <c r="G21" s="55">
        <v>2</v>
      </c>
      <c r="H21" s="54">
        <v>4000659722</v>
      </c>
      <c r="I21" s="56">
        <v>18860</v>
      </c>
      <c r="J21" s="56">
        <v>2392949042647</v>
      </c>
      <c r="M21" s="32"/>
    </row>
    <row r="22" spans="1:17" x14ac:dyDescent="0.35">
      <c r="A22" s="36">
        <v>20</v>
      </c>
      <c r="B22" s="36" t="s">
        <v>88</v>
      </c>
      <c r="C22" s="52">
        <v>8795</v>
      </c>
      <c r="D22" s="53">
        <v>3294816981816</v>
      </c>
      <c r="E22" s="53">
        <v>2786</v>
      </c>
      <c r="F22" s="54">
        <v>256023522298</v>
      </c>
      <c r="G22" s="55">
        <v>452</v>
      </c>
      <c r="H22" s="54">
        <v>63568815339</v>
      </c>
      <c r="I22" s="56">
        <v>12033</v>
      </c>
      <c r="J22" s="56">
        <v>3614409319453</v>
      </c>
      <c r="M22" s="32"/>
    </row>
    <row r="23" spans="1:17" x14ac:dyDescent="0.35">
      <c r="A23" s="36">
        <v>21</v>
      </c>
      <c r="B23" s="36" t="s">
        <v>89</v>
      </c>
      <c r="C23" s="52">
        <v>5553</v>
      </c>
      <c r="D23" s="53">
        <v>2077084407536</v>
      </c>
      <c r="E23" s="53">
        <v>2224</v>
      </c>
      <c r="F23" s="54">
        <v>21703969715</v>
      </c>
      <c r="G23" s="54">
        <v>0</v>
      </c>
      <c r="H23" s="54">
        <v>0</v>
      </c>
      <c r="I23" s="56">
        <v>7777</v>
      </c>
      <c r="J23" s="56">
        <v>2098788377251</v>
      </c>
    </row>
    <row r="24" spans="1:17" x14ac:dyDescent="0.35">
      <c r="A24" s="36">
        <v>22</v>
      </c>
      <c r="B24" s="36" t="s">
        <v>90</v>
      </c>
      <c r="C24" s="52">
        <v>665</v>
      </c>
      <c r="D24" s="53">
        <v>149809722152</v>
      </c>
      <c r="E24" s="53">
        <v>72</v>
      </c>
      <c r="F24" s="54">
        <v>1627242004</v>
      </c>
      <c r="G24" s="54">
        <v>0</v>
      </c>
      <c r="H24" s="54">
        <v>0</v>
      </c>
      <c r="I24" s="56">
        <v>737</v>
      </c>
      <c r="J24" s="56">
        <v>151436964156</v>
      </c>
    </row>
    <row r="25" spans="1:17" ht="15" customHeight="1" x14ac:dyDescent="0.35">
      <c r="A25" s="72" t="s">
        <v>6</v>
      </c>
      <c r="B25" s="72"/>
      <c r="C25" s="57">
        <v>409712</v>
      </c>
      <c r="D25" s="58">
        <v>86947811079942</v>
      </c>
      <c r="E25" s="58">
        <v>520778</v>
      </c>
      <c r="F25" s="58">
        <v>16586713360624</v>
      </c>
      <c r="G25" s="58">
        <v>1183</v>
      </c>
      <c r="H25" s="58">
        <v>768223861107</v>
      </c>
      <c r="I25" s="58">
        <v>931673</v>
      </c>
      <c r="J25" s="58">
        <v>104302748301673</v>
      </c>
    </row>
  </sheetData>
  <mergeCells count="7">
    <mergeCell ref="G1:H1"/>
    <mergeCell ref="I1:J1"/>
    <mergeCell ref="A25:B25"/>
    <mergeCell ref="A1:A2"/>
    <mergeCell ref="B1:B2"/>
    <mergeCell ref="C1:D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938D-06CF-4660-AFB4-2CD3B24385C8}">
  <dimension ref="A1:E6"/>
  <sheetViews>
    <sheetView zoomScale="96" zoomScaleNormal="96" workbookViewId="0">
      <selection activeCell="D15" sqref="D15"/>
    </sheetView>
  </sheetViews>
  <sheetFormatPr baseColWidth="10" defaultRowHeight="14.5" x14ac:dyDescent="0.35"/>
  <cols>
    <col min="1" max="1" width="20.7265625" bestFit="1" customWidth="1"/>
    <col min="2" max="2" width="19.08984375" customWidth="1"/>
    <col min="3" max="3" width="22.453125" customWidth="1"/>
    <col min="4" max="4" width="35.81640625" customWidth="1"/>
    <col min="5" max="5" width="23.1796875" customWidth="1"/>
  </cols>
  <sheetData>
    <row r="1" spans="1:5" x14ac:dyDescent="0.35">
      <c r="A1" s="77" t="s">
        <v>98</v>
      </c>
      <c r="B1" s="79" t="s">
        <v>34</v>
      </c>
      <c r="C1" s="79"/>
      <c r="D1" s="79" t="s">
        <v>99</v>
      </c>
      <c r="E1" s="79"/>
    </row>
    <row r="2" spans="1:5" ht="18" customHeight="1" x14ac:dyDescent="0.35">
      <c r="A2" s="78"/>
      <c r="B2" s="23" t="s">
        <v>100</v>
      </c>
      <c r="C2" s="24" t="s">
        <v>101</v>
      </c>
      <c r="D2" s="23" t="s">
        <v>100</v>
      </c>
      <c r="E2" s="24" t="s">
        <v>101</v>
      </c>
    </row>
    <row r="3" spans="1:5" x14ac:dyDescent="0.35">
      <c r="A3" s="25" t="s">
        <v>93</v>
      </c>
      <c r="B3" s="8">
        <v>20194</v>
      </c>
      <c r="C3" s="9">
        <v>4.92882805482876E-2</v>
      </c>
      <c r="D3" s="8">
        <v>6240851390525</v>
      </c>
      <c r="E3" s="9">
        <v>7.1776981076464394E-2</v>
      </c>
    </row>
    <row r="4" spans="1:5" x14ac:dyDescent="0.35">
      <c r="A4" s="26" t="s">
        <v>94</v>
      </c>
      <c r="B4" s="8">
        <v>1265</v>
      </c>
      <c r="C4" s="9">
        <v>2.4290580631286269E-3</v>
      </c>
      <c r="D4" s="8">
        <v>57400164524</v>
      </c>
      <c r="E4" s="9">
        <v>3.4606111093874103E-3</v>
      </c>
    </row>
    <row r="5" spans="1:5" x14ac:dyDescent="0.35">
      <c r="A5" s="26" t="s">
        <v>95</v>
      </c>
      <c r="B5" s="8">
        <v>68</v>
      </c>
      <c r="C5" s="9">
        <v>5.7480980557903634E-2</v>
      </c>
      <c r="D5" s="8">
        <v>104880701607</v>
      </c>
      <c r="E5" s="9">
        <v>0.13652361885228137</v>
      </c>
    </row>
    <row r="6" spans="1:5" x14ac:dyDescent="0.35">
      <c r="A6" s="27" t="s">
        <v>47</v>
      </c>
      <c r="B6" s="28">
        <f>SUM(B3:B5)</f>
        <v>21527</v>
      </c>
      <c r="C6" s="44">
        <v>2.31057463294525E-2</v>
      </c>
      <c r="D6" s="28">
        <v>6403132256656</v>
      </c>
      <c r="E6" s="44">
        <v>6.1389870937401704E-2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BE35-28B1-4EA0-9A5D-B8FDDEAFF971}">
  <dimension ref="A1:F3"/>
  <sheetViews>
    <sheetView workbookViewId="0">
      <selection activeCell="D8" sqref="D8"/>
    </sheetView>
  </sheetViews>
  <sheetFormatPr baseColWidth="10" defaultRowHeight="14.5" x14ac:dyDescent="0.35"/>
  <cols>
    <col min="1" max="1" width="29.54296875" customWidth="1"/>
    <col min="2" max="2" width="27.26953125" customWidth="1"/>
    <col min="3" max="3" width="28.453125" customWidth="1"/>
    <col min="4" max="4" width="23" bestFit="1" customWidth="1"/>
    <col min="5" max="5" width="17.54296875" customWidth="1"/>
  </cols>
  <sheetData>
    <row r="1" spans="1:6" x14ac:dyDescent="0.35">
      <c r="A1" s="2" t="s">
        <v>52</v>
      </c>
      <c r="B1" s="3" t="s">
        <v>53</v>
      </c>
      <c r="C1" s="4" t="s">
        <v>54</v>
      </c>
      <c r="D1" s="3" t="s">
        <v>55</v>
      </c>
      <c r="E1" s="4" t="s">
        <v>56</v>
      </c>
      <c r="F1" s="5"/>
    </row>
    <row r="2" spans="1:6" x14ac:dyDescent="0.35">
      <c r="A2" s="6" t="s">
        <v>57</v>
      </c>
      <c r="B2" s="7">
        <v>223865</v>
      </c>
      <c r="C2" s="8">
        <v>302549</v>
      </c>
      <c r="D2" s="8">
        <f>C2-B2</f>
        <v>78684</v>
      </c>
      <c r="E2" s="9">
        <f>(C2-B2)/B2</f>
        <v>0.3514796864181538</v>
      </c>
      <c r="F2" s="5"/>
    </row>
    <row r="3" spans="1:6" x14ac:dyDescent="0.35">
      <c r="A3" s="10" t="s">
        <v>51</v>
      </c>
      <c r="B3" s="11">
        <v>212955255208011</v>
      </c>
      <c r="C3" s="12">
        <v>259757743437081.16</v>
      </c>
      <c r="D3" s="8">
        <f>C3-B3</f>
        <v>46802488229070.156</v>
      </c>
      <c r="E3" s="9">
        <f>(C3-B3)/B3</f>
        <v>0.21977615994192912</v>
      </c>
      <c r="F3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6A98-2022-4968-94CA-AF61AAA17DD7}">
  <dimension ref="A1:S18"/>
  <sheetViews>
    <sheetView tabSelected="1" zoomScale="60" zoomScaleNormal="60" zoomScalePageLayoutView="55" workbookViewId="0">
      <selection activeCell="L11" sqref="K1:S16"/>
    </sheetView>
  </sheetViews>
  <sheetFormatPr baseColWidth="10" defaultRowHeight="14.5" x14ac:dyDescent="0.35"/>
  <cols>
    <col min="1" max="1" width="22.81640625" customWidth="1"/>
    <col min="2" max="2" width="14.54296875" customWidth="1"/>
    <col min="3" max="3" width="24.90625" customWidth="1"/>
    <col min="4" max="4" width="11.453125" customWidth="1"/>
    <col min="5" max="5" width="27.36328125" customWidth="1"/>
    <col min="6" max="6" width="11.6328125" customWidth="1"/>
    <col min="7" max="7" width="24.6328125" customWidth="1"/>
    <col min="8" max="8" width="13.54296875" customWidth="1"/>
    <col min="9" max="9" width="31" customWidth="1"/>
    <col min="11" max="11" width="13.81640625" customWidth="1"/>
    <col min="12" max="12" width="10.08984375" bestFit="1" customWidth="1"/>
    <col min="13" max="13" width="23.453125" bestFit="1" customWidth="1"/>
    <col min="14" max="14" width="7.90625" bestFit="1" customWidth="1"/>
    <col min="15" max="15" width="17.26953125" bestFit="1" customWidth="1"/>
    <col min="16" max="16" width="7.90625" bestFit="1" customWidth="1"/>
    <col min="17" max="17" width="15.54296875" bestFit="1" customWidth="1"/>
    <col min="18" max="18" width="10.08984375" bestFit="1" customWidth="1"/>
    <col min="19" max="19" width="24.54296875" bestFit="1" customWidth="1"/>
  </cols>
  <sheetData>
    <row r="1" spans="1:19" ht="16" x14ac:dyDescent="0.35">
      <c r="A1" s="45"/>
      <c r="B1" s="80">
        <v>2025</v>
      </c>
      <c r="C1" s="80"/>
      <c r="D1" s="80"/>
      <c r="E1" s="80"/>
      <c r="F1" s="80"/>
      <c r="G1" s="80"/>
      <c r="H1" s="80"/>
      <c r="I1" s="80"/>
      <c r="K1" s="59"/>
      <c r="L1" s="83">
        <v>2024</v>
      </c>
      <c r="M1" s="83"/>
      <c r="N1" s="83"/>
      <c r="O1" s="83"/>
      <c r="P1" s="83"/>
      <c r="Q1" s="83"/>
      <c r="R1" s="83"/>
      <c r="S1" s="83"/>
    </row>
    <row r="2" spans="1:19" ht="15" x14ac:dyDescent="0.35">
      <c r="A2" s="84" t="s">
        <v>7</v>
      </c>
      <c r="B2" s="81" t="s">
        <v>3</v>
      </c>
      <c r="C2" s="81"/>
      <c r="D2" s="81" t="s">
        <v>2</v>
      </c>
      <c r="E2" s="81"/>
      <c r="F2" s="81" t="s">
        <v>8</v>
      </c>
      <c r="G2" s="81"/>
      <c r="H2" s="81" t="s">
        <v>6</v>
      </c>
      <c r="I2" s="81"/>
      <c r="K2" s="86" t="s">
        <v>7</v>
      </c>
      <c r="L2" s="86" t="s">
        <v>3</v>
      </c>
      <c r="M2" s="86"/>
      <c r="N2" s="86" t="s">
        <v>2</v>
      </c>
      <c r="O2" s="86"/>
      <c r="P2" s="86" t="s">
        <v>8</v>
      </c>
      <c r="Q2" s="86"/>
      <c r="R2" s="82" t="s">
        <v>6</v>
      </c>
      <c r="S2" s="82"/>
    </row>
    <row r="3" spans="1:19" ht="12.75" customHeight="1" x14ac:dyDescent="0.35">
      <c r="A3" s="85"/>
      <c r="B3" s="13" t="s">
        <v>4</v>
      </c>
      <c r="C3" s="13" t="s">
        <v>5</v>
      </c>
      <c r="D3" s="13" t="s">
        <v>4</v>
      </c>
      <c r="E3" s="13" t="s">
        <v>5</v>
      </c>
      <c r="F3" s="13" t="s">
        <v>4</v>
      </c>
      <c r="G3" s="13" t="s">
        <v>5</v>
      </c>
      <c r="H3" s="13" t="s">
        <v>4</v>
      </c>
      <c r="I3" s="13" t="s">
        <v>5</v>
      </c>
      <c r="K3" s="87"/>
      <c r="L3" s="60" t="s">
        <v>4</v>
      </c>
      <c r="M3" s="60" t="s">
        <v>5</v>
      </c>
      <c r="N3" s="60" t="s">
        <v>4</v>
      </c>
      <c r="O3" s="60" t="s">
        <v>5</v>
      </c>
      <c r="P3" s="60" t="s">
        <v>4</v>
      </c>
      <c r="Q3" s="60" t="s">
        <v>5</v>
      </c>
      <c r="R3" s="60" t="s">
        <v>4</v>
      </c>
      <c r="S3" s="60" t="s">
        <v>5</v>
      </c>
    </row>
    <row r="4" spans="1:19" ht="31" x14ac:dyDescent="0.35">
      <c r="A4" s="46" t="s">
        <v>9</v>
      </c>
      <c r="B4" s="14">
        <v>27164</v>
      </c>
      <c r="C4" s="50">
        <v>19006612881927</v>
      </c>
      <c r="D4" s="16">
        <v>274</v>
      </c>
      <c r="E4" s="15">
        <v>428589288.26999998</v>
      </c>
      <c r="F4" s="16">
        <v>156</v>
      </c>
      <c r="G4" s="15">
        <v>10116825.359999999</v>
      </c>
      <c r="H4" s="14">
        <v>27594</v>
      </c>
      <c r="I4" s="15">
        <v>22807515347526.648</v>
      </c>
      <c r="K4" s="61" t="s">
        <v>22</v>
      </c>
      <c r="L4" s="62">
        <v>17984</v>
      </c>
      <c r="M4" s="63">
        <v>15493651707343</v>
      </c>
      <c r="N4" s="62">
        <v>243</v>
      </c>
      <c r="O4" s="63">
        <v>278423783.91000003</v>
      </c>
      <c r="P4" s="62">
        <v>156</v>
      </c>
      <c r="Q4" s="63">
        <v>11222951.91</v>
      </c>
      <c r="R4" s="62">
        <f>L4+N4+P4</f>
        <v>18383</v>
      </c>
      <c r="S4" s="63">
        <f>M4+O4*$O$18+Q4*$Q$18</f>
        <v>17974981817974.418</v>
      </c>
    </row>
    <row r="5" spans="1:19" ht="31" x14ac:dyDescent="0.35">
      <c r="A5" s="46" t="s">
        <v>10</v>
      </c>
      <c r="B5" s="14">
        <v>22962</v>
      </c>
      <c r="C5" s="50">
        <v>14236368337454</v>
      </c>
      <c r="D5" s="16">
        <v>165</v>
      </c>
      <c r="E5" s="15">
        <v>167589099.78</v>
      </c>
      <c r="F5" s="16">
        <v>138</v>
      </c>
      <c r="G5" s="15">
        <v>8158588.2999999998</v>
      </c>
      <c r="H5" s="14">
        <v>23265</v>
      </c>
      <c r="I5" s="15">
        <v>15763616717727.418</v>
      </c>
      <c r="K5" s="61" t="s">
        <v>23</v>
      </c>
      <c r="L5" s="62">
        <v>14968</v>
      </c>
      <c r="M5" s="63">
        <v>12977421512107</v>
      </c>
      <c r="N5" s="62">
        <v>196</v>
      </c>
      <c r="O5" s="63">
        <v>305079762.81</v>
      </c>
      <c r="P5" s="62">
        <v>123</v>
      </c>
      <c r="Q5" s="63">
        <v>6875991.7000000002</v>
      </c>
      <c r="R5" s="62">
        <f t="shared" ref="R5:R15" si="0">L5+N5+P5</f>
        <v>15287</v>
      </c>
      <c r="S5" s="63">
        <f t="shared" ref="S5:S15" si="1">M5+O5*$O$18+Q5*$Q$18</f>
        <v>15646206927110.545</v>
      </c>
    </row>
    <row r="6" spans="1:19" ht="31" x14ac:dyDescent="0.35">
      <c r="A6" s="46" t="s">
        <v>11</v>
      </c>
      <c r="B6" s="14">
        <v>22129</v>
      </c>
      <c r="C6" s="50">
        <v>15516004809850</v>
      </c>
      <c r="D6" s="16">
        <v>159</v>
      </c>
      <c r="E6" s="15">
        <v>217346766.75999999</v>
      </c>
      <c r="F6" s="16">
        <v>115</v>
      </c>
      <c r="G6" s="15">
        <v>10052972.66</v>
      </c>
      <c r="H6" s="14">
        <v>22403</v>
      </c>
      <c r="I6" s="15">
        <v>17491547088082.014</v>
      </c>
      <c r="K6" s="61" t="s">
        <v>24</v>
      </c>
      <c r="L6" s="62">
        <v>17703</v>
      </c>
      <c r="M6" s="63">
        <v>16655188911858</v>
      </c>
      <c r="N6" s="62">
        <v>210</v>
      </c>
      <c r="O6" s="63">
        <v>335491457.51999998</v>
      </c>
      <c r="P6" s="62">
        <v>145</v>
      </c>
      <c r="Q6" s="63">
        <v>7847081.3799999999</v>
      </c>
      <c r="R6" s="62">
        <f t="shared" si="0"/>
        <v>18058</v>
      </c>
      <c r="S6" s="63">
        <f t="shared" si="1"/>
        <v>19592650665043.488</v>
      </c>
    </row>
    <row r="7" spans="1:19" ht="31" x14ac:dyDescent="0.35">
      <c r="A7" s="46" t="s">
        <v>12</v>
      </c>
      <c r="B7" s="14">
        <v>24340</v>
      </c>
      <c r="C7" s="50">
        <v>20789945362332</v>
      </c>
      <c r="D7" s="16">
        <v>247</v>
      </c>
      <c r="E7" s="15">
        <v>246779024.61000001</v>
      </c>
      <c r="F7" s="16">
        <v>111</v>
      </c>
      <c r="G7" s="15">
        <v>7182041.8399999999</v>
      </c>
      <c r="H7" s="14">
        <v>24698</v>
      </c>
      <c r="I7" s="15">
        <v>22991718344275.84</v>
      </c>
      <c r="K7" s="61" t="s">
        <v>25</v>
      </c>
      <c r="L7" s="62">
        <v>15978</v>
      </c>
      <c r="M7" s="63">
        <v>14941959099636</v>
      </c>
      <c r="N7" s="62">
        <v>252</v>
      </c>
      <c r="O7" s="63">
        <v>303379210.51999998</v>
      </c>
      <c r="P7" s="62">
        <v>133</v>
      </c>
      <c r="Q7" s="63">
        <v>7907678.4299999997</v>
      </c>
      <c r="R7" s="62">
        <f t="shared" si="0"/>
        <v>16363</v>
      </c>
      <c r="S7" s="63">
        <f t="shared" si="1"/>
        <v>17605757360281.875</v>
      </c>
    </row>
    <row r="8" spans="1:19" ht="31" x14ac:dyDescent="0.35">
      <c r="A8" s="46" t="s">
        <v>13</v>
      </c>
      <c r="B8" s="14">
        <v>25071</v>
      </c>
      <c r="C8" s="50">
        <v>16797859260467</v>
      </c>
      <c r="D8" s="16">
        <v>216</v>
      </c>
      <c r="E8" s="15">
        <v>262225848.97</v>
      </c>
      <c r="F8" s="16">
        <v>160</v>
      </c>
      <c r="G8" s="15">
        <v>15889176.17</v>
      </c>
      <c r="H8" s="14">
        <v>25447</v>
      </c>
      <c r="I8" s="15">
        <v>19218009676859.813</v>
      </c>
      <c r="K8" s="61" t="s">
        <v>26</v>
      </c>
      <c r="L8" s="62">
        <v>18359</v>
      </c>
      <c r="M8" s="63">
        <v>15459690462195</v>
      </c>
      <c r="N8" s="62">
        <v>246</v>
      </c>
      <c r="O8" s="63">
        <v>513782076.87</v>
      </c>
      <c r="P8" s="62">
        <v>146</v>
      </c>
      <c r="Q8" s="63">
        <v>11276706.68</v>
      </c>
      <c r="R8" s="62">
        <f t="shared" si="0"/>
        <v>18751</v>
      </c>
      <c r="S8" s="63">
        <f t="shared" si="1"/>
        <v>19951366785322.164</v>
      </c>
    </row>
    <row r="9" spans="1:19" ht="31" x14ac:dyDescent="0.35">
      <c r="A9" s="46" t="s">
        <v>14</v>
      </c>
      <c r="B9" s="14">
        <v>21271</v>
      </c>
      <c r="C9" s="50">
        <v>17016072309903</v>
      </c>
      <c r="D9" s="16">
        <v>203</v>
      </c>
      <c r="E9" s="15">
        <v>150597604.22999999</v>
      </c>
      <c r="F9" s="16">
        <v>163</v>
      </c>
      <c r="G9" s="15">
        <v>8831715.75</v>
      </c>
      <c r="H9" s="14">
        <v>21637</v>
      </c>
      <c r="I9" s="15">
        <v>18403113161583.867</v>
      </c>
      <c r="K9" s="61" t="s">
        <v>27</v>
      </c>
      <c r="L9" s="62">
        <v>16696</v>
      </c>
      <c r="M9" s="63">
        <v>14185088833961</v>
      </c>
      <c r="N9" s="62">
        <v>186</v>
      </c>
      <c r="O9" s="63">
        <v>146597875.93000001</v>
      </c>
      <c r="P9" s="62">
        <v>106</v>
      </c>
      <c r="Q9" s="63">
        <v>6888808.75</v>
      </c>
      <c r="R9" s="62">
        <f t="shared" si="0"/>
        <v>16988</v>
      </c>
      <c r="S9" s="63">
        <f t="shared" si="1"/>
        <v>15500631732991.426</v>
      </c>
    </row>
    <row r="10" spans="1:19" ht="15.5" x14ac:dyDescent="0.35">
      <c r="A10" s="46" t="s">
        <v>15</v>
      </c>
      <c r="B10" s="14">
        <v>26197</v>
      </c>
      <c r="C10" s="50">
        <v>19236209507979</v>
      </c>
      <c r="D10" s="16">
        <v>308</v>
      </c>
      <c r="E10" s="15">
        <v>472181315.71000004</v>
      </c>
      <c r="F10" s="16">
        <v>175</v>
      </c>
      <c r="G10" s="15">
        <v>11449593.43</v>
      </c>
      <c r="H10" s="14">
        <v>26680</v>
      </c>
      <c r="I10" s="15">
        <v>23426667290783.891</v>
      </c>
      <c r="K10" s="61" t="s">
        <v>28</v>
      </c>
      <c r="L10" s="62">
        <v>18999</v>
      </c>
      <c r="M10" s="63">
        <v>15282285167780</v>
      </c>
      <c r="N10" s="62">
        <v>200</v>
      </c>
      <c r="O10" s="63">
        <v>368569382.19999999</v>
      </c>
      <c r="P10" s="62">
        <v>156</v>
      </c>
      <c r="Q10" s="63">
        <v>37295423.050000004</v>
      </c>
      <c r="R10" s="62">
        <f t="shared" si="0"/>
        <v>19355</v>
      </c>
      <c r="S10" s="63">
        <f t="shared" si="1"/>
        <v>18774376048662.844</v>
      </c>
    </row>
    <row r="11" spans="1:19" ht="31" x14ac:dyDescent="0.35">
      <c r="A11" s="46" t="s">
        <v>16</v>
      </c>
      <c r="B11" s="14">
        <v>23340</v>
      </c>
      <c r="C11" s="50">
        <v>18443307536264</v>
      </c>
      <c r="D11" s="16">
        <v>218</v>
      </c>
      <c r="E11" s="15">
        <v>252261685.58000001</v>
      </c>
      <c r="F11" s="16">
        <v>164</v>
      </c>
      <c r="G11" s="15">
        <v>11325094.42</v>
      </c>
      <c r="H11" s="14">
        <v>23722</v>
      </c>
      <c r="I11" s="15">
        <v>20732859607699.527</v>
      </c>
      <c r="K11" s="61" t="s">
        <v>29</v>
      </c>
      <c r="L11" s="62">
        <v>17545</v>
      </c>
      <c r="M11" s="63">
        <v>16538667151332</v>
      </c>
      <c r="N11" s="62">
        <v>175</v>
      </c>
      <c r="O11" s="63">
        <v>290151090.18000001</v>
      </c>
      <c r="P11" s="62">
        <v>127</v>
      </c>
      <c r="Q11" s="63">
        <v>11742057.17</v>
      </c>
      <c r="R11" s="62">
        <f t="shared" si="0"/>
        <v>17847</v>
      </c>
      <c r="S11" s="63">
        <f t="shared" si="1"/>
        <v>19124940484631.867</v>
      </c>
    </row>
    <row r="12" spans="1:19" ht="31" x14ac:dyDescent="0.35">
      <c r="A12" s="46" t="s">
        <v>17</v>
      </c>
      <c r="B12" s="14">
        <v>25437</v>
      </c>
      <c r="C12" s="50">
        <v>20901317495065</v>
      </c>
      <c r="D12" s="16">
        <v>226</v>
      </c>
      <c r="E12" s="15">
        <v>246935193.81</v>
      </c>
      <c r="F12" s="16">
        <v>172</v>
      </c>
      <c r="G12" s="15">
        <v>11366971.640000001</v>
      </c>
      <c r="H12" s="14">
        <v>25835</v>
      </c>
      <c r="I12" s="15">
        <v>23145267266943.516</v>
      </c>
      <c r="K12" s="61" t="s">
        <v>30</v>
      </c>
      <c r="L12" s="62">
        <v>18477</v>
      </c>
      <c r="M12" s="63">
        <v>13783155206668</v>
      </c>
      <c r="N12" s="62">
        <v>199</v>
      </c>
      <c r="O12" s="63">
        <v>281544321.42000002</v>
      </c>
      <c r="P12" s="62">
        <v>135</v>
      </c>
      <c r="Q12" s="63">
        <v>7894274.5499999998</v>
      </c>
      <c r="R12" s="62">
        <f t="shared" si="0"/>
        <v>18811</v>
      </c>
      <c r="S12" s="63">
        <f t="shared" si="1"/>
        <v>16260369879582.49</v>
      </c>
    </row>
    <row r="13" spans="1:19" ht="31" x14ac:dyDescent="0.35">
      <c r="A13" s="46" t="s">
        <v>18</v>
      </c>
      <c r="B13" s="14">
        <v>25159</v>
      </c>
      <c r="C13" s="50">
        <v>18822382178357</v>
      </c>
      <c r="D13" s="16">
        <v>241</v>
      </c>
      <c r="E13" s="15">
        <v>408355479.23000002</v>
      </c>
      <c r="F13" s="16">
        <v>187</v>
      </c>
      <c r="G13" s="15">
        <v>39318293.980000004</v>
      </c>
      <c r="H13" s="14">
        <v>25587</v>
      </c>
      <c r="I13" s="15">
        <v>22733389456923.887</v>
      </c>
      <c r="K13" s="61" t="s">
        <v>31</v>
      </c>
      <c r="L13" s="62">
        <v>20697</v>
      </c>
      <c r="M13" s="63">
        <v>16129348314347</v>
      </c>
      <c r="N13" s="62">
        <v>207</v>
      </c>
      <c r="O13" s="63">
        <v>400402386.84000003</v>
      </c>
      <c r="P13" s="62">
        <v>166</v>
      </c>
      <c r="Q13" s="63">
        <v>8158024.0499999998</v>
      </c>
      <c r="R13" s="62">
        <f t="shared" si="0"/>
        <v>21070</v>
      </c>
      <c r="S13" s="63">
        <f t="shared" si="1"/>
        <v>19623992660960.469</v>
      </c>
    </row>
    <row r="14" spans="1:19" ht="31" x14ac:dyDescent="0.35">
      <c r="A14" s="46" t="s">
        <v>19</v>
      </c>
      <c r="B14" s="14">
        <v>24879</v>
      </c>
      <c r="C14" s="50">
        <v>20869022175126</v>
      </c>
      <c r="D14" s="16">
        <v>209</v>
      </c>
      <c r="E14" s="15">
        <v>253806131.72</v>
      </c>
      <c r="F14" s="16">
        <v>119</v>
      </c>
      <c r="G14" s="15">
        <v>18732339.719999999</v>
      </c>
      <c r="H14" s="14">
        <v>25207</v>
      </c>
      <c r="I14" s="15">
        <v>23244179740316.363</v>
      </c>
      <c r="K14" s="61" t="s">
        <v>32</v>
      </c>
      <c r="L14" s="62">
        <v>20479</v>
      </c>
      <c r="M14" s="63">
        <v>12973218530100</v>
      </c>
      <c r="N14" s="62">
        <v>199</v>
      </c>
      <c r="O14" s="63">
        <v>264246378.56</v>
      </c>
      <c r="P14" s="62">
        <v>131</v>
      </c>
      <c r="Q14" s="63">
        <v>6823533.8500000006</v>
      </c>
      <c r="R14" s="62">
        <f t="shared" si="0"/>
        <v>20809</v>
      </c>
      <c r="S14" s="63">
        <f t="shared" si="1"/>
        <v>15292821187385.201</v>
      </c>
    </row>
    <row r="15" spans="1:19" ht="31" x14ac:dyDescent="0.35">
      <c r="A15" s="46" t="s">
        <v>20</v>
      </c>
      <c r="B15" s="14">
        <v>29981</v>
      </c>
      <c r="C15" s="50">
        <v>25576335102513</v>
      </c>
      <c r="D15" s="16">
        <v>344</v>
      </c>
      <c r="E15" s="15">
        <v>477872987.66000003</v>
      </c>
      <c r="F15" s="16">
        <v>149</v>
      </c>
      <c r="G15" s="15">
        <v>9799468.370000001</v>
      </c>
      <c r="H15" s="14">
        <v>30474</v>
      </c>
      <c r="I15" s="15">
        <v>29799859738358.445</v>
      </c>
      <c r="K15" s="61" t="s">
        <v>33</v>
      </c>
      <c r="L15" s="62">
        <v>21727</v>
      </c>
      <c r="M15" s="63">
        <v>15394577465069</v>
      </c>
      <c r="N15" s="62">
        <v>276</v>
      </c>
      <c r="O15" s="63">
        <v>251058100.33000001</v>
      </c>
      <c r="P15" s="62">
        <v>140</v>
      </c>
      <c r="Q15" s="63">
        <v>7429603.3900000006</v>
      </c>
      <c r="R15" s="62">
        <f t="shared" si="0"/>
        <v>22143</v>
      </c>
      <c r="S15" s="63">
        <f t="shared" si="1"/>
        <v>17607159658064.117</v>
      </c>
    </row>
    <row r="16" spans="1:19" ht="30" x14ac:dyDescent="0.35">
      <c r="A16" s="47" t="s">
        <v>21</v>
      </c>
      <c r="B16" s="48">
        <v>297930</v>
      </c>
      <c r="C16" s="51">
        <v>227211436957237</v>
      </c>
      <c r="D16" s="48">
        <v>2810</v>
      </c>
      <c r="E16" s="49">
        <v>3584540426.3299994</v>
      </c>
      <c r="F16" s="48">
        <v>1809</v>
      </c>
      <c r="G16" s="49">
        <v>162223081.63999999</v>
      </c>
      <c r="H16" s="48">
        <v>302549</v>
      </c>
      <c r="I16" s="49">
        <v>259757743437081.19</v>
      </c>
      <c r="K16" s="64" t="s">
        <v>21</v>
      </c>
      <c r="L16" s="65">
        <v>219612</v>
      </c>
      <c r="M16" s="66">
        <v>179814252362396</v>
      </c>
      <c r="N16" s="65">
        <v>2589</v>
      </c>
      <c r="O16" s="66">
        <v>3738725827.0900002</v>
      </c>
      <c r="P16" s="65">
        <v>1664</v>
      </c>
      <c r="Q16" s="66">
        <v>131362134.91</v>
      </c>
      <c r="R16" s="65">
        <f t="shared" ref="R16" si="2">SUM(R4:R15)</f>
        <v>223865</v>
      </c>
      <c r="S16" s="67">
        <f t="shared" ref="S16" si="3">SUM(S4:S15)</f>
        <v>212955255208010.91</v>
      </c>
    </row>
    <row r="17" spans="1:19" ht="16" x14ac:dyDescent="0.4">
      <c r="A17" s="5"/>
      <c r="B17" s="5"/>
      <c r="C17" s="5"/>
      <c r="D17" s="5"/>
      <c r="E17" s="5"/>
      <c r="F17" s="5"/>
      <c r="G17" s="5"/>
      <c r="H17" s="5"/>
      <c r="I17" s="5"/>
      <c r="K17" s="68"/>
      <c r="L17" s="68"/>
      <c r="M17" s="68"/>
      <c r="N17" s="68"/>
      <c r="O17" s="68"/>
      <c r="P17" s="68"/>
      <c r="Q17" s="68"/>
      <c r="R17" s="68"/>
      <c r="S17" s="68"/>
    </row>
    <row r="18" spans="1:19" ht="20.25" customHeight="1" x14ac:dyDescent="0.4">
      <c r="A18" s="5"/>
      <c r="B18" s="5"/>
      <c r="C18" s="5"/>
      <c r="D18" s="28" t="s">
        <v>48</v>
      </c>
      <c r="E18" s="31">
        <v>8638.1152495967726</v>
      </c>
      <c r="F18" s="28" t="s">
        <v>49</v>
      </c>
      <c r="G18" s="31">
        <v>9755.9061532258038</v>
      </c>
      <c r="H18" s="5"/>
      <c r="I18" s="5"/>
      <c r="K18" s="68"/>
      <c r="L18" s="68"/>
      <c r="M18" s="68"/>
      <c r="N18" s="69" t="s">
        <v>48</v>
      </c>
      <c r="O18" s="70">
        <v>8539.5308999999997</v>
      </c>
      <c r="P18" s="69" t="s">
        <v>49</v>
      </c>
      <c r="Q18" s="70">
        <v>9241.9182999999994</v>
      </c>
      <c r="R18" s="68"/>
      <c r="S18" s="68"/>
    </row>
  </sheetData>
  <mergeCells count="12">
    <mergeCell ref="B1:I1"/>
    <mergeCell ref="H2:I2"/>
    <mergeCell ref="R2:S2"/>
    <mergeCell ref="L1:S1"/>
    <mergeCell ref="A2:A3"/>
    <mergeCell ref="B2:C2"/>
    <mergeCell ref="D2:E2"/>
    <mergeCell ref="F2:G2"/>
    <mergeCell ref="K2:K3"/>
    <mergeCell ref="L2:M2"/>
    <mergeCell ref="N2:O2"/>
    <mergeCell ref="P2:Q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C54A-EC03-4AD0-867B-60A82DD0131A}">
  <dimension ref="A1:I15"/>
  <sheetViews>
    <sheetView workbookViewId="0">
      <selection activeCell="I15" sqref="I15"/>
    </sheetView>
  </sheetViews>
  <sheetFormatPr baseColWidth="10" defaultRowHeight="14.5" x14ac:dyDescent="0.35"/>
  <cols>
    <col min="1" max="1" width="10.08984375" customWidth="1"/>
    <col min="2" max="2" width="13.6328125" customWidth="1"/>
    <col min="3" max="3" width="30.453125" customWidth="1"/>
    <col min="4" max="4" width="13.1796875" customWidth="1"/>
    <col min="5" max="5" width="26.453125" bestFit="1" customWidth="1"/>
    <col min="6" max="6" width="9.54296875" bestFit="1" customWidth="1"/>
    <col min="7" max="7" width="14.08984375" customWidth="1"/>
    <col min="8" max="8" width="13.453125" bestFit="1" customWidth="1"/>
  </cols>
  <sheetData>
    <row r="1" spans="1:9" x14ac:dyDescent="0.35">
      <c r="A1" s="84" t="s">
        <v>7</v>
      </c>
      <c r="B1" s="81">
        <v>2024</v>
      </c>
      <c r="C1" s="81"/>
      <c r="D1" s="81">
        <v>2025</v>
      </c>
      <c r="E1" s="81"/>
      <c r="F1" s="81" t="s">
        <v>50</v>
      </c>
      <c r="G1" s="81"/>
      <c r="H1" s="5"/>
      <c r="I1" s="5"/>
    </row>
    <row r="2" spans="1:9" x14ac:dyDescent="0.35">
      <c r="A2" s="85"/>
      <c r="B2" s="13" t="s">
        <v>34</v>
      </c>
      <c r="C2" s="13" t="s">
        <v>63</v>
      </c>
      <c r="D2" s="13" t="s">
        <v>34</v>
      </c>
      <c r="E2" s="13" t="s">
        <v>63</v>
      </c>
      <c r="F2" s="13" t="s">
        <v>34</v>
      </c>
      <c r="G2" s="13" t="s">
        <v>51</v>
      </c>
      <c r="H2" s="5"/>
      <c r="I2" s="5"/>
    </row>
    <row r="3" spans="1:9" ht="25.5" customHeight="1" x14ac:dyDescent="0.35">
      <c r="A3" s="6" t="s">
        <v>35</v>
      </c>
      <c r="B3" s="14">
        <v>18383</v>
      </c>
      <c r="C3" s="15">
        <v>17974981817974.398</v>
      </c>
      <c r="D3" s="16">
        <v>27594</v>
      </c>
      <c r="E3" s="15">
        <v>22807515347526.648</v>
      </c>
      <c r="F3" s="17">
        <f>(D3-B3)/B3</f>
        <v>0.50106076266115429</v>
      </c>
      <c r="G3" s="17">
        <f>(E3-C3)/C3</f>
        <v>0.26884775620300616</v>
      </c>
      <c r="H3" s="5"/>
      <c r="I3" s="5"/>
    </row>
    <row r="4" spans="1:9" x14ac:dyDescent="0.35">
      <c r="A4" s="10" t="s">
        <v>36</v>
      </c>
      <c r="B4" s="14">
        <v>15287</v>
      </c>
      <c r="C4" s="15">
        <v>15646206927110.545</v>
      </c>
      <c r="D4" s="16">
        <v>23265</v>
      </c>
      <c r="E4" s="15">
        <v>15763616717727.418</v>
      </c>
      <c r="F4" s="17">
        <f t="shared" ref="F4:F14" si="0">(D4-B4)/B4</f>
        <v>0.52188133708379669</v>
      </c>
      <c r="G4" s="17">
        <f t="shared" ref="G4:G14" si="1">(E4-C4)/C4</f>
        <v>7.5040417887759355E-3</v>
      </c>
      <c r="H4" s="5"/>
      <c r="I4" s="5"/>
    </row>
    <row r="5" spans="1:9" x14ac:dyDescent="0.35">
      <c r="A5" s="10" t="s">
        <v>37</v>
      </c>
      <c r="B5" s="14">
        <v>18058</v>
      </c>
      <c r="C5" s="15">
        <v>19592650665043.488</v>
      </c>
      <c r="D5" s="16">
        <v>22403</v>
      </c>
      <c r="E5" s="15">
        <v>17491547088082.014</v>
      </c>
      <c r="F5" s="17">
        <f t="shared" si="0"/>
        <v>0.24061357846937645</v>
      </c>
      <c r="G5" s="17">
        <f t="shared" si="1"/>
        <v>-0.10723937321611052</v>
      </c>
      <c r="H5" s="5"/>
      <c r="I5" s="5"/>
    </row>
    <row r="6" spans="1:9" x14ac:dyDescent="0.35">
      <c r="A6" s="10" t="s">
        <v>38</v>
      </c>
      <c r="B6" s="14">
        <v>16363</v>
      </c>
      <c r="C6" s="15">
        <v>17605757360281.875</v>
      </c>
      <c r="D6" s="16">
        <v>24698</v>
      </c>
      <c r="E6" s="15">
        <v>22991718344275.84</v>
      </c>
      <c r="F6" s="17">
        <f t="shared" si="0"/>
        <v>0.50938092036912541</v>
      </c>
      <c r="G6" s="17">
        <f t="shared" si="1"/>
        <v>0.30592043692164878</v>
      </c>
      <c r="H6" s="5"/>
      <c r="I6" s="5"/>
    </row>
    <row r="7" spans="1:9" x14ac:dyDescent="0.35">
      <c r="A7" s="10" t="s">
        <v>39</v>
      </c>
      <c r="B7" s="14">
        <v>18751</v>
      </c>
      <c r="C7" s="15">
        <v>19951366785322.164</v>
      </c>
      <c r="D7" s="16">
        <v>25447</v>
      </c>
      <c r="E7" s="15">
        <v>19218009676859.813</v>
      </c>
      <c r="F7" s="17">
        <f t="shared" si="0"/>
        <v>0.35710095461575381</v>
      </c>
      <c r="G7" s="17">
        <f t="shared" si="1"/>
        <v>-3.6757236551927273E-2</v>
      </c>
      <c r="H7" s="5"/>
      <c r="I7" s="5"/>
    </row>
    <row r="8" spans="1:9" x14ac:dyDescent="0.35">
      <c r="A8" s="10" t="s">
        <v>40</v>
      </c>
      <c r="B8" s="14">
        <v>16988</v>
      </c>
      <c r="C8" s="15">
        <v>15500631732991.426</v>
      </c>
      <c r="D8" s="16">
        <v>21637</v>
      </c>
      <c r="E8" s="15">
        <v>18403113161583.867</v>
      </c>
      <c r="F8" s="17">
        <f t="shared" si="0"/>
        <v>0.27366376265599246</v>
      </c>
      <c r="G8" s="17">
        <f t="shared" si="1"/>
        <v>0.18724923464988993</v>
      </c>
      <c r="H8" s="5"/>
      <c r="I8" s="5"/>
    </row>
    <row r="9" spans="1:9" x14ac:dyDescent="0.35">
      <c r="A9" s="10" t="s">
        <v>41</v>
      </c>
      <c r="B9" s="14">
        <v>19355</v>
      </c>
      <c r="C9" s="15">
        <v>18774376048662.844</v>
      </c>
      <c r="D9" s="16">
        <v>26680</v>
      </c>
      <c r="E9" s="15">
        <v>23426667290783.891</v>
      </c>
      <c r="F9" s="17">
        <f t="shared" si="0"/>
        <v>0.37845517954017049</v>
      </c>
      <c r="G9" s="17">
        <f t="shared" si="1"/>
        <v>0.24780004566129879</v>
      </c>
      <c r="H9" s="5"/>
      <c r="I9" s="5"/>
    </row>
    <row r="10" spans="1:9" x14ac:dyDescent="0.35">
      <c r="A10" s="10" t="s">
        <v>42</v>
      </c>
      <c r="B10" s="14">
        <v>17847</v>
      </c>
      <c r="C10" s="15">
        <v>19124940484631.867</v>
      </c>
      <c r="D10" s="16">
        <v>23722</v>
      </c>
      <c r="E10" s="15">
        <v>20732859607699.527</v>
      </c>
      <c r="F10" s="17">
        <f t="shared" si="0"/>
        <v>0.32918697820361964</v>
      </c>
      <c r="G10" s="17">
        <f t="shared" si="1"/>
        <v>8.4074464145900363E-2</v>
      </c>
      <c r="H10" s="5"/>
      <c r="I10" s="5"/>
    </row>
    <row r="11" spans="1:9" ht="25.5" customHeight="1" x14ac:dyDescent="0.35">
      <c r="A11" s="10" t="s">
        <v>43</v>
      </c>
      <c r="B11" s="14">
        <v>18811</v>
      </c>
      <c r="C11" s="15">
        <v>16260369879582.49</v>
      </c>
      <c r="D11" s="16">
        <v>25835</v>
      </c>
      <c r="E11" s="15">
        <v>23145267266943.516</v>
      </c>
      <c r="F11" s="17">
        <f t="shared" si="0"/>
        <v>0.37339854340545425</v>
      </c>
      <c r="G11" s="17">
        <f t="shared" si="1"/>
        <v>0.42341579178995931</v>
      </c>
      <c r="H11" s="5"/>
      <c r="I11" s="5"/>
    </row>
    <row r="12" spans="1:9" ht="25.5" customHeight="1" x14ac:dyDescent="0.35">
      <c r="A12" s="10" t="s">
        <v>44</v>
      </c>
      <c r="B12" s="14">
        <v>21070</v>
      </c>
      <c r="C12" s="15">
        <v>19623992660960.469</v>
      </c>
      <c r="D12" s="16">
        <v>25587</v>
      </c>
      <c r="E12" s="15">
        <v>22733389456923.887</v>
      </c>
      <c r="F12" s="17">
        <f t="shared" si="0"/>
        <v>0.21438063597532037</v>
      </c>
      <c r="G12" s="17">
        <f t="shared" si="1"/>
        <v>0.15844873414313806</v>
      </c>
      <c r="H12" s="5"/>
      <c r="I12" s="5"/>
    </row>
    <row r="13" spans="1:9" ht="25.5" customHeight="1" x14ac:dyDescent="0.35">
      <c r="A13" s="10" t="s">
        <v>45</v>
      </c>
      <c r="B13" s="14">
        <v>20809</v>
      </c>
      <c r="C13" s="15">
        <v>15292821187385.201</v>
      </c>
      <c r="D13" s="16">
        <v>25207</v>
      </c>
      <c r="E13" s="15">
        <v>23244179740316.363</v>
      </c>
      <c r="F13" s="17">
        <f t="shared" si="0"/>
        <v>0.21135085780191262</v>
      </c>
      <c r="G13" s="17">
        <f t="shared" si="1"/>
        <v>0.51994059536183601</v>
      </c>
      <c r="H13" s="5"/>
      <c r="I13" s="5"/>
    </row>
    <row r="14" spans="1:9" ht="27" x14ac:dyDescent="0.35">
      <c r="A14" s="10" t="s">
        <v>46</v>
      </c>
      <c r="B14" s="14">
        <v>22143</v>
      </c>
      <c r="C14" s="15">
        <v>17607159658064.117</v>
      </c>
      <c r="D14" s="16">
        <v>30474</v>
      </c>
      <c r="E14" s="15">
        <v>29799859738358.445</v>
      </c>
      <c r="F14" s="17">
        <f t="shared" si="0"/>
        <v>0.37623628234656553</v>
      </c>
      <c r="G14" s="17">
        <f t="shared" si="1"/>
        <v>0.69248534784030569</v>
      </c>
      <c r="H14" s="5"/>
      <c r="I14" s="5"/>
    </row>
    <row r="15" spans="1:9" ht="25.5" customHeight="1" x14ac:dyDescent="0.35">
      <c r="A15" s="18" t="s">
        <v>21</v>
      </c>
      <c r="B15" s="19">
        <f>SUM(B3:B14)</f>
        <v>223865</v>
      </c>
      <c r="C15" s="20">
        <f>SUM(C3:C14)</f>
        <v>212955255208010.88</v>
      </c>
      <c r="D15" s="21">
        <f>SUM(D3:D14)</f>
        <v>302549</v>
      </c>
      <c r="E15" s="20">
        <f>SUM(E3:E14)</f>
        <v>259757743437081.19</v>
      </c>
      <c r="F15" s="22">
        <f>(D15-B15)/B15</f>
        <v>0.3514796864181538</v>
      </c>
      <c r="G15" s="22">
        <f>(E15-C15)/C15</f>
        <v>0.21977615994192998</v>
      </c>
      <c r="H15" s="5"/>
      <c r="I15" s="5"/>
    </row>
  </sheetData>
  <mergeCells count="4">
    <mergeCell ref="A1:A2"/>
    <mergeCell ref="B1:C1"/>
    <mergeCell ref="D1:E1"/>
    <mergeCell ref="F1:G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FF9DF-025B-4296-A61D-FD3756D5D24A}">
  <dimension ref="A1:G8"/>
  <sheetViews>
    <sheetView workbookViewId="0">
      <selection activeCell="C8" sqref="C8"/>
    </sheetView>
  </sheetViews>
  <sheetFormatPr baseColWidth="10" defaultRowHeight="14.5" x14ac:dyDescent="0.35"/>
  <cols>
    <col min="1" max="1" width="9.453125" bestFit="1" customWidth="1"/>
    <col min="2" max="2" width="20" customWidth="1"/>
    <col min="3" max="3" width="28.453125" bestFit="1" customWidth="1"/>
    <col min="4" max="4" width="30.1796875" bestFit="1" customWidth="1"/>
    <col min="5" max="5" width="18.26953125" bestFit="1" customWidth="1"/>
  </cols>
  <sheetData>
    <row r="1" spans="1:7" ht="27" x14ac:dyDescent="0.35">
      <c r="A1" s="2" t="s">
        <v>58</v>
      </c>
      <c r="B1" s="23" t="s">
        <v>59</v>
      </c>
      <c r="C1" s="24" t="s">
        <v>60</v>
      </c>
      <c r="D1" s="23" t="s">
        <v>61</v>
      </c>
      <c r="E1" s="24" t="s">
        <v>62</v>
      </c>
      <c r="F1" s="5"/>
      <c r="G1" s="5"/>
    </row>
    <row r="2" spans="1:7" x14ac:dyDescent="0.35">
      <c r="A2" s="25" t="s">
        <v>3</v>
      </c>
      <c r="B2" s="8">
        <v>297930</v>
      </c>
      <c r="C2" s="12">
        <v>227211436957237</v>
      </c>
      <c r="D2" s="12">
        <v>227211436957237</v>
      </c>
      <c r="E2" s="9">
        <f>D2/D5</f>
        <v>0.87470515392844239</v>
      </c>
      <c r="F2" s="5"/>
      <c r="G2" s="5"/>
    </row>
    <row r="3" spans="1:7" x14ac:dyDescent="0.35">
      <c r="A3" s="26" t="s">
        <v>2</v>
      </c>
      <c r="B3" s="8">
        <v>2810</v>
      </c>
      <c r="C3" s="12">
        <v>3584540426.3300009</v>
      </c>
      <c r="D3" s="12">
        <f>C3*E8</f>
        <v>30963673319477.297</v>
      </c>
      <c r="E3" s="9">
        <f>D3/D5</f>
        <v>0.11920211851924001</v>
      </c>
      <c r="F3" s="5"/>
      <c r="G3" s="5"/>
    </row>
    <row r="4" spans="1:7" x14ac:dyDescent="0.35">
      <c r="A4" s="26" t="s">
        <v>1</v>
      </c>
      <c r="B4" s="8">
        <v>1809</v>
      </c>
      <c r="C4" s="12">
        <v>162223081.63999999</v>
      </c>
      <c r="D4" s="12">
        <f>C4*C8</f>
        <v>1582633160366.9277</v>
      </c>
      <c r="E4" s="9">
        <f>D4/D5</f>
        <v>6.0927275523175095E-3</v>
      </c>
      <c r="F4" s="5"/>
      <c r="G4" s="5"/>
    </row>
    <row r="5" spans="1:7" x14ac:dyDescent="0.35">
      <c r="A5" s="27" t="s">
        <v>47</v>
      </c>
      <c r="B5" s="28">
        <f>SUM(B2:B4)</f>
        <v>302549</v>
      </c>
      <c r="C5" s="29"/>
      <c r="D5" s="29">
        <f t="shared" ref="D5:E5" si="0">SUM(D2:D4)</f>
        <v>259757743437081.25</v>
      </c>
      <c r="E5" s="30">
        <f t="shared" si="0"/>
        <v>0.99999999999999989</v>
      </c>
      <c r="F5" s="5"/>
      <c r="G5" s="5"/>
    </row>
    <row r="6" spans="1:7" x14ac:dyDescent="0.35">
      <c r="A6" s="5"/>
      <c r="B6" s="5"/>
      <c r="C6" s="5"/>
      <c r="D6" s="5"/>
      <c r="E6" s="5"/>
      <c r="F6" s="5"/>
      <c r="G6" s="5"/>
    </row>
    <row r="7" spans="1:7" x14ac:dyDescent="0.35">
      <c r="A7" s="5"/>
      <c r="B7" s="5"/>
      <c r="C7" s="5"/>
      <c r="D7" s="5"/>
      <c r="E7" s="5"/>
      <c r="F7" s="5"/>
      <c r="G7" s="5"/>
    </row>
    <row r="8" spans="1:7" x14ac:dyDescent="0.35">
      <c r="A8" s="5"/>
      <c r="B8" s="28" t="s">
        <v>49</v>
      </c>
      <c r="C8" s="31">
        <v>9755.9061532258038</v>
      </c>
      <c r="D8" s="28" t="s">
        <v>48</v>
      </c>
      <c r="E8" s="31">
        <v>8638.1152495967726</v>
      </c>
      <c r="F8" s="5"/>
      <c r="G8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05B2-40D0-463B-A95B-190609044D21}">
  <dimension ref="A1:I28"/>
  <sheetViews>
    <sheetView workbookViewId="0">
      <selection activeCell="F17" sqref="F17"/>
    </sheetView>
  </sheetViews>
  <sheetFormatPr baseColWidth="10" defaultRowHeight="14.5" x14ac:dyDescent="0.35"/>
  <cols>
    <col min="1" max="1" width="3.6328125" customWidth="1"/>
    <col min="2" max="2" width="18.26953125" customWidth="1"/>
    <col min="3" max="3" width="21.08984375" customWidth="1"/>
    <col min="4" max="4" width="22" customWidth="1"/>
    <col min="5" max="5" width="19.1796875" customWidth="1"/>
    <col min="6" max="6" width="21.81640625" customWidth="1"/>
    <col min="7" max="7" width="22.54296875" customWidth="1"/>
    <col min="8" max="8" width="21.81640625" customWidth="1"/>
    <col min="9" max="9" width="14.81640625" customWidth="1"/>
  </cols>
  <sheetData>
    <row r="1" spans="1:9" x14ac:dyDescent="0.35">
      <c r="A1" s="91" t="s">
        <v>0</v>
      </c>
      <c r="B1" s="89" t="s">
        <v>64</v>
      </c>
      <c r="C1" s="88" t="s">
        <v>65</v>
      </c>
      <c r="D1" s="88"/>
      <c r="E1" s="88" t="s">
        <v>66</v>
      </c>
      <c r="F1" s="88"/>
      <c r="G1" s="88" t="s">
        <v>67</v>
      </c>
      <c r="H1" s="88"/>
      <c r="I1" s="89" t="s">
        <v>68</v>
      </c>
    </row>
    <row r="2" spans="1:9" x14ac:dyDescent="0.35">
      <c r="A2" s="91"/>
      <c r="B2" s="90"/>
      <c r="C2" s="33">
        <v>2024</v>
      </c>
      <c r="D2" s="33">
        <v>2025</v>
      </c>
      <c r="E2" s="33">
        <v>2024</v>
      </c>
      <c r="F2" s="33">
        <v>2025</v>
      </c>
      <c r="G2" s="33">
        <v>2024</v>
      </c>
      <c r="H2" s="33">
        <v>2025</v>
      </c>
      <c r="I2" s="90"/>
    </row>
    <row r="3" spans="1:9" x14ac:dyDescent="0.35">
      <c r="A3" s="34">
        <v>1</v>
      </c>
      <c r="B3" s="34" t="s">
        <v>69</v>
      </c>
      <c r="C3" s="35">
        <v>0</v>
      </c>
      <c r="D3" s="35">
        <v>0</v>
      </c>
      <c r="E3" s="35">
        <v>0</v>
      </c>
      <c r="F3" s="35">
        <v>0</v>
      </c>
      <c r="G3" s="35">
        <f>C3+E3</f>
        <v>0</v>
      </c>
      <c r="H3" s="35">
        <f>D3+F3</f>
        <v>0</v>
      </c>
      <c r="I3" s="35">
        <v>0</v>
      </c>
    </row>
    <row r="4" spans="1:9" x14ac:dyDescent="0.35">
      <c r="A4" s="36">
        <v>2</v>
      </c>
      <c r="B4" s="36" t="s">
        <v>70</v>
      </c>
      <c r="C4" s="35">
        <v>539885904</v>
      </c>
      <c r="D4" s="37">
        <v>614541433.2020632</v>
      </c>
      <c r="E4" s="38">
        <v>47520255</v>
      </c>
      <c r="F4" s="39">
        <v>48243873.668997973</v>
      </c>
      <c r="G4" s="35">
        <f t="shared" ref="G4:G24" si="0">C4+E4</f>
        <v>587406159</v>
      </c>
      <c r="H4" s="35">
        <f t="shared" ref="H4:H24" si="1">D4+F4</f>
        <v>662785306.87106121</v>
      </c>
      <c r="I4" s="40">
        <f>(H4-G4)/G4</f>
        <v>0.12832542988549292</v>
      </c>
    </row>
    <row r="5" spans="1:9" x14ac:dyDescent="0.35">
      <c r="A5" s="36">
        <v>3</v>
      </c>
      <c r="B5" s="36" t="s">
        <v>71</v>
      </c>
      <c r="C5" s="35">
        <v>1198461619</v>
      </c>
      <c r="D5" s="37">
        <v>830356104.59798896</v>
      </c>
      <c r="E5" s="38">
        <v>47520255</v>
      </c>
      <c r="F5" s="39">
        <v>48243873.668997973</v>
      </c>
      <c r="G5" s="35">
        <f t="shared" si="0"/>
        <v>1245981874</v>
      </c>
      <c r="H5" s="35">
        <f t="shared" si="1"/>
        <v>878599978.26698697</v>
      </c>
      <c r="I5" s="40">
        <f t="shared" ref="I5:I24" si="2">(H5-G5)/G5</f>
        <v>-0.29485332282852539</v>
      </c>
    </row>
    <row r="6" spans="1:9" x14ac:dyDescent="0.35">
      <c r="A6" s="36">
        <v>4</v>
      </c>
      <c r="B6" s="36" t="s">
        <v>72</v>
      </c>
      <c r="C6" s="35">
        <v>481072802</v>
      </c>
      <c r="D6" s="37">
        <v>485272038.49184752</v>
      </c>
      <c r="E6" s="38">
        <v>47520255</v>
      </c>
      <c r="F6" s="39">
        <v>48243873.668997973</v>
      </c>
      <c r="G6" s="35">
        <f t="shared" si="0"/>
        <v>528593057</v>
      </c>
      <c r="H6" s="35">
        <f t="shared" si="1"/>
        <v>533515912.16084552</v>
      </c>
      <c r="I6" s="40">
        <f t="shared" si="2"/>
        <v>9.3131286831213862E-3</v>
      </c>
    </row>
    <row r="7" spans="1:9" x14ac:dyDescent="0.35">
      <c r="A7" s="36">
        <v>5</v>
      </c>
      <c r="B7" s="36" t="s">
        <v>73</v>
      </c>
      <c r="C7" s="35">
        <v>495435724</v>
      </c>
      <c r="D7" s="37">
        <v>461603602.70795232</v>
      </c>
      <c r="E7" s="38">
        <v>47520255</v>
      </c>
      <c r="F7" s="39">
        <v>48243873.668997973</v>
      </c>
      <c r="G7" s="35">
        <f t="shared" si="0"/>
        <v>542955979</v>
      </c>
      <c r="H7" s="35">
        <f t="shared" si="1"/>
        <v>509847476.37695026</v>
      </c>
      <c r="I7" s="40">
        <f t="shared" si="2"/>
        <v>-6.0978244836769238E-2</v>
      </c>
    </row>
    <row r="8" spans="1:9" x14ac:dyDescent="0.35">
      <c r="A8" s="36">
        <v>6</v>
      </c>
      <c r="B8" s="36" t="s">
        <v>74</v>
      </c>
      <c r="C8" s="35">
        <v>380166467</v>
      </c>
      <c r="D8" s="37">
        <v>436337115.60288179</v>
      </c>
      <c r="E8" s="38">
        <v>47520255</v>
      </c>
      <c r="F8" s="39">
        <v>48243873.668997973</v>
      </c>
      <c r="G8" s="35">
        <f t="shared" si="0"/>
        <v>427686722</v>
      </c>
      <c r="H8" s="35">
        <f t="shared" si="1"/>
        <v>484580989.27187979</v>
      </c>
      <c r="I8" s="40">
        <f t="shared" si="2"/>
        <v>0.13302790183857938</v>
      </c>
    </row>
    <row r="9" spans="1:9" x14ac:dyDescent="0.35">
      <c r="A9" s="36">
        <v>7</v>
      </c>
      <c r="B9" s="36" t="s">
        <v>75</v>
      </c>
      <c r="C9" s="35">
        <v>589713672</v>
      </c>
      <c r="D9" s="37">
        <v>599986209.00649261</v>
      </c>
      <c r="E9" s="38">
        <v>47520255</v>
      </c>
      <c r="F9" s="39">
        <v>48243873.668997973</v>
      </c>
      <c r="G9" s="35">
        <f t="shared" si="0"/>
        <v>637233927</v>
      </c>
      <c r="H9" s="35">
        <f t="shared" si="1"/>
        <v>648230082.67549062</v>
      </c>
      <c r="I9" s="40">
        <f t="shared" si="2"/>
        <v>1.7256073805201864E-2</v>
      </c>
    </row>
    <row r="10" spans="1:9" x14ac:dyDescent="0.35">
      <c r="A10" s="36">
        <v>8</v>
      </c>
      <c r="B10" s="36" t="s">
        <v>76</v>
      </c>
      <c r="C10" s="35">
        <v>1152148003</v>
      </c>
      <c r="D10" s="37">
        <v>1050127032.7782301</v>
      </c>
      <c r="E10" s="38">
        <v>47520255</v>
      </c>
      <c r="F10" s="39">
        <v>48243873.668997973</v>
      </c>
      <c r="G10" s="35">
        <f t="shared" si="0"/>
        <v>1199668258</v>
      </c>
      <c r="H10" s="35">
        <f t="shared" si="1"/>
        <v>1098370906.447228</v>
      </c>
      <c r="I10" s="40">
        <f t="shared" si="2"/>
        <v>-8.4437802598568076E-2</v>
      </c>
    </row>
    <row r="11" spans="1:9" x14ac:dyDescent="0.35">
      <c r="A11" s="36">
        <v>9</v>
      </c>
      <c r="B11" s="36" t="s">
        <v>77</v>
      </c>
      <c r="C11" s="35">
        <v>384599573</v>
      </c>
      <c r="D11" s="37">
        <v>399055010.1856221</v>
      </c>
      <c r="E11" s="38">
        <v>47520255</v>
      </c>
      <c r="F11" s="39">
        <v>48243873.668997973</v>
      </c>
      <c r="G11" s="35">
        <f t="shared" si="0"/>
        <v>432119828</v>
      </c>
      <c r="H11" s="35">
        <f t="shared" si="1"/>
        <v>447298883.8546201</v>
      </c>
      <c r="I11" s="40">
        <f t="shared" si="2"/>
        <v>3.5126959864059046E-2</v>
      </c>
    </row>
    <row r="12" spans="1:9" x14ac:dyDescent="0.35">
      <c r="A12" s="36">
        <v>10</v>
      </c>
      <c r="B12" s="36" t="s">
        <v>78</v>
      </c>
      <c r="C12" s="35">
        <v>382276659</v>
      </c>
      <c r="D12" s="37">
        <v>430100396.3926729</v>
      </c>
      <c r="E12" s="38">
        <v>47520255</v>
      </c>
      <c r="F12" s="39">
        <v>48243873.668997973</v>
      </c>
      <c r="G12" s="35">
        <f t="shared" si="0"/>
        <v>429796914</v>
      </c>
      <c r="H12" s="35">
        <f t="shared" si="1"/>
        <v>478344270.0616709</v>
      </c>
      <c r="I12" s="40">
        <f t="shared" si="2"/>
        <v>0.11295417551944288</v>
      </c>
    </row>
    <row r="13" spans="1:9" x14ac:dyDescent="0.35">
      <c r="A13" s="36">
        <v>11</v>
      </c>
      <c r="B13" s="36" t="s">
        <v>79</v>
      </c>
      <c r="C13" s="35">
        <v>372193684</v>
      </c>
      <c r="D13" s="37">
        <v>447385265.00711602</v>
      </c>
      <c r="E13" s="38">
        <v>47520255</v>
      </c>
      <c r="F13" s="39">
        <v>48243873.668997973</v>
      </c>
      <c r="G13" s="35">
        <f t="shared" si="0"/>
        <v>419713939</v>
      </c>
      <c r="H13" s="35">
        <f t="shared" si="1"/>
        <v>495629138.67611396</v>
      </c>
      <c r="I13" s="40">
        <f t="shared" si="2"/>
        <v>0.18087366804397212</v>
      </c>
    </row>
    <row r="14" spans="1:9" x14ac:dyDescent="0.35">
      <c r="A14" s="36">
        <v>12</v>
      </c>
      <c r="B14" s="36" t="s">
        <v>80</v>
      </c>
      <c r="C14" s="35">
        <v>425118669</v>
      </c>
      <c r="D14" s="37">
        <v>470716814.29627693</v>
      </c>
      <c r="E14" s="38">
        <v>47520255</v>
      </c>
      <c r="F14" s="39">
        <v>48243873.668997973</v>
      </c>
      <c r="G14" s="35">
        <f t="shared" si="0"/>
        <v>472638924</v>
      </c>
      <c r="H14" s="35">
        <f t="shared" si="1"/>
        <v>518960687.96527493</v>
      </c>
      <c r="I14" s="40">
        <f t="shared" si="2"/>
        <v>9.8006663465734639E-2</v>
      </c>
    </row>
    <row r="15" spans="1:9" x14ac:dyDescent="0.35">
      <c r="A15" s="36">
        <v>13</v>
      </c>
      <c r="B15" s="36" t="s">
        <v>81</v>
      </c>
      <c r="C15" s="35">
        <v>379724007</v>
      </c>
      <c r="D15" s="37">
        <v>381346873.92394871</v>
      </c>
      <c r="E15" s="38">
        <v>47520255</v>
      </c>
      <c r="F15" s="39">
        <v>48243873.668997973</v>
      </c>
      <c r="G15" s="35">
        <f t="shared" si="0"/>
        <v>427244262</v>
      </c>
      <c r="H15" s="35">
        <f t="shared" si="1"/>
        <v>429590747.59294665</v>
      </c>
      <c r="I15" s="40">
        <f t="shared" si="2"/>
        <v>5.4921406830892644E-3</v>
      </c>
    </row>
    <row r="16" spans="1:9" x14ac:dyDescent="0.35">
      <c r="A16" s="36">
        <v>14</v>
      </c>
      <c r="B16" s="36" t="s">
        <v>82</v>
      </c>
      <c r="C16" s="35">
        <v>417341589</v>
      </c>
      <c r="D16" s="37">
        <v>526199428.54443699</v>
      </c>
      <c r="E16" s="38">
        <v>47520255</v>
      </c>
      <c r="F16" s="39">
        <v>48243873.668997973</v>
      </c>
      <c r="G16" s="35">
        <f t="shared" si="0"/>
        <v>464861844</v>
      </c>
      <c r="H16" s="35">
        <f t="shared" si="1"/>
        <v>574443302.21343493</v>
      </c>
      <c r="I16" s="40">
        <f t="shared" si="2"/>
        <v>0.2357290873144558</v>
      </c>
    </row>
    <row r="17" spans="1:9" x14ac:dyDescent="0.35">
      <c r="A17" s="36">
        <v>15</v>
      </c>
      <c r="B17" s="36" t="s">
        <v>83</v>
      </c>
      <c r="C17" s="35">
        <v>320562042</v>
      </c>
      <c r="D17" s="37">
        <v>326235698.63152128</v>
      </c>
      <c r="E17" s="38">
        <v>47520255</v>
      </c>
      <c r="F17" s="39">
        <v>48243873.668997973</v>
      </c>
      <c r="G17" s="35">
        <f t="shared" si="0"/>
        <v>368082297</v>
      </c>
      <c r="H17" s="35">
        <f t="shared" si="1"/>
        <v>374479572.30051923</v>
      </c>
      <c r="I17" s="40">
        <f t="shared" si="2"/>
        <v>1.7380013525940444E-2</v>
      </c>
    </row>
    <row r="18" spans="1:9" x14ac:dyDescent="0.35">
      <c r="A18" s="36">
        <v>16</v>
      </c>
      <c r="B18" s="36" t="s">
        <v>84</v>
      </c>
      <c r="C18" s="35">
        <v>379085844</v>
      </c>
      <c r="D18" s="37">
        <v>448646429.83355719</v>
      </c>
      <c r="E18" s="38">
        <v>47520255</v>
      </c>
      <c r="F18" s="39">
        <v>48243873.668997973</v>
      </c>
      <c r="G18" s="35">
        <f t="shared" si="0"/>
        <v>426606099</v>
      </c>
      <c r="H18" s="35">
        <f t="shared" si="1"/>
        <v>496890303.50255513</v>
      </c>
      <c r="I18" s="40">
        <f t="shared" si="2"/>
        <v>0.16475199174907984</v>
      </c>
    </row>
    <row r="19" spans="1:9" x14ac:dyDescent="0.35">
      <c r="A19" s="36">
        <v>17</v>
      </c>
      <c r="B19" s="36" t="s">
        <v>85</v>
      </c>
      <c r="C19" s="35">
        <v>329828169</v>
      </c>
      <c r="D19" s="37">
        <v>372095452.49163055</v>
      </c>
      <c r="E19" s="38">
        <v>47520255</v>
      </c>
      <c r="F19" s="39">
        <v>48243873.668997973</v>
      </c>
      <c r="G19" s="35">
        <f t="shared" si="0"/>
        <v>377348424</v>
      </c>
      <c r="H19" s="35">
        <f t="shared" si="1"/>
        <v>420339326.16062856</v>
      </c>
      <c r="I19" s="40">
        <f t="shared" si="2"/>
        <v>0.11392892993937231</v>
      </c>
    </row>
    <row r="20" spans="1:9" x14ac:dyDescent="0.35">
      <c r="A20" s="36">
        <v>18</v>
      </c>
      <c r="B20" s="36" t="s">
        <v>86</v>
      </c>
      <c r="C20" s="35">
        <v>317643510</v>
      </c>
      <c r="D20" s="37">
        <v>323359206.25340557</v>
      </c>
      <c r="E20" s="38">
        <v>47520255</v>
      </c>
      <c r="F20" s="39">
        <v>48243873.668997973</v>
      </c>
      <c r="G20" s="35">
        <f t="shared" si="0"/>
        <v>365163765</v>
      </c>
      <c r="H20" s="35">
        <f t="shared" si="1"/>
        <v>371603079.92240357</v>
      </c>
      <c r="I20" s="40">
        <f t="shared" si="2"/>
        <v>1.7634046801997382E-2</v>
      </c>
    </row>
    <row r="21" spans="1:9" x14ac:dyDescent="0.35">
      <c r="A21" s="36">
        <v>19</v>
      </c>
      <c r="B21" s="36" t="s">
        <v>87</v>
      </c>
      <c r="C21" s="35">
        <v>390138827</v>
      </c>
      <c r="D21" s="37">
        <v>441597727.78988624</v>
      </c>
      <c r="E21" s="38">
        <v>47520255</v>
      </c>
      <c r="F21" s="39">
        <v>48243873.668997973</v>
      </c>
      <c r="G21" s="35">
        <f t="shared" si="0"/>
        <v>437659082</v>
      </c>
      <c r="H21" s="35">
        <f t="shared" si="1"/>
        <v>489841601.45888424</v>
      </c>
      <c r="I21" s="40">
        <f t="shared" si="2"/>
        <v>0.11923097590120212</v>
      </c>
    </row>
    <row r="22" spans="1:9" x14ac:dyDescent="0.35">
      <c r="A22" s="36">
        <v>20</v>
      </c>
      <c r="B22" s="36" t="s">
        <v>88</v>
      </c>
      <c r="C22" s="35">
        <v>411623649</v>
      </c>
      <c r="D22" s="37">
        <v>392144517.98594469</v>
      </c>
      <c r="E22" s="38">
        <v>47520255</v>
      </c>
      <c r="F22" s="39">
        <v>48243873.668997973</v>
      </c>
      <c r="G22" s="35">
        <f t="shared" si="0"/>
        <v>459143904</v>
      </c>
      <c r="H22" s="35">
        <f t="shared" si="1"/>
        <v>440388391.65494263</v>
      </c>
      <c r="I22" s="40">
        <f t="shared" si="2"/>
        <v>-4.0848875878916967E-2</v>
      </c>
    </row>
    <row r="23" spans="1:9" x14ac:dyDescent="0.35">
      <c r="A23" s="36">
        <v>21</v>
      </c>
      <c r="B23" s="36" t="s">
        <v>89</v>
      </c>
      <c r="C23" s="35">
        <v>317388245</v>
      </c>
      <c r="D23" s="37">
        <v>371628994.26815236</v>
      </c>
      <c r="E23" s="38">
        <v>47520255</v>
      </c>
      <c r="F23" s="39">
        <v>48243873.668997973</v>
      </c>
      <c r="G23" s="35">
        <f t="shared" si="0"/>
        <v>364908500</v>
      </c>
      <c r="H23" s="35">
        <f t="shared" si="1"/>
        <v>419872867.93715036</v>
      </c>
      <c r="I23" s="40">
        <f t="shared" si="2"/>
        <v>0.15062506885191865</v>
      </c>
    </row>
    <row r="24" spans="1:9" x14ac:dyDescent="0.35">
      <c r="A24" s="36">
        <v>22</v>
      </c>
      <c r="B24" s="36" t="s">
        <v>90</v>
      </c>
      <c r="C24" s="35">
        <v>314801557</v>
      </c>
      <c r="D24" s="37">
        <v>322020298.38971812</v>
      </c>
      <c r="E24" s="38">
        <v>47520255</v>
      </c>
      <c r="F24" s="39">
        <v>48243873.668997973</v>
      </c>
      <c r="G24" s="35">
        <f t="shared" si="0"/>
        <v>362321812</v>
      </c>
      <c r="H24" s="35">
        <f t="shared" si="1"/>
        <v>370264172.05871606</v>
      </c>
      <c r="I24" s="40">
        <f t="shared" si="2"/>
        <v>2.1920733987486403E-2</v>
      </c>
    </row>
    <row r="25" spans="1:9" x14ac:dyDescent="0.35">
      <c r="A25" s="72" t="s">
        <v>6</v>
      </c>
      <c r="B25" s="72"/>
      <c r="C25" s="41">
        <f>SUM(C3:C24)</f>
        <v>9979210215</v>
      </c>
      <c r="D25" s="41">
        <f t="shared" ref="D25:H25" si="3">SUM(D3:D24)</f>
        <v>10130755650.381348</v>
      </c>
      <c r="E25" s="41">
        <f t="shared" si="3"/>
        <v>997925355</v>
      </c>
      <c r="F25" s="41">
        <f t="shared" si="3"/>
        <v>1013121347.0489578</v>
      </c>
      <c r="G25" s="41">
        <f t="shared" si="3"/>
        <v>10977135570</v>
      </c>
      <c r="H25" s="41">
        <f t="shared" si="3"/>
        <v>11143876997.430305</v>
      </c>
      <c r="I25" s="42">
        <f>(H25-G25)/G25</f>
        <v>1.5189885044874733E-2</v>
      </c>
    </row>
    <row r="28" spans="1:9" x14ac:dyDescent="0.35">
      <c r="I28" s="1"/>
    </row>
  </sheetData>
  <mergeCells count="7">
    <mergeCell ref="G1:H1"/>
    <mergeCell ref="I1:I2"/>
    <mergeCell ref="A25:B25"/>
    <mergeCell ref="A1:A2"/>
    <mergeCell ref="B1:B2"/>
    <mergeCell ref="C1:D1"/>
    <mergeCell ref="E1:F1"/>
  </mergeCells>
  <pageMargins left="0.7" right="0.7" top="0.75" bottom="0.75" header="0.3" footer="0.3"/>
  <ignoredErrors>
    <ignoredError sqref="C25:F25 H2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Evolution Globale ACPACH</vt:lpstr>
      <vt:lpstr>Evolution par Banque ACPACH</vt:lpstr>
      <vt:lpstr>Rejets Impayés</vt:lpstr>
      <vt:lpstr>Global RTGS</vt:lpstr>
      <vt:lpstr>Mensuel RTGS</vt:lpstr>
      <vt:lpstr>Variation Mensuel RTGS </vt:lpstr>
      <vt:lpstr>Variation Devise RTGS</vt:lpstr>
      <vt:lpstr>Variation Contribution SNP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Kerfalla SYLLA</dc:creator>
  <cp:lastModifiedBy>HP</cp:lastModifiedBy>
  <dcterms:created xsi:type="dcterms:W3CDTF">2026-01-26T15:29:05Z</dcterms:created>
  <dcterms:modified xsi:type="dcterms:W3CDTF">2026-06-01T08:38:19Z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2026-01-26T15:29:10Z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41e645b9-4646-4f20-8d78-b4f3def4dece</vt:lpwstr>
  </property>
  <property fmtid="{D5CDD505-2E9C-101B-9397-08002B2CF9AE}" pid="7" name="MSIP_Label_defa4170-0d19-0005-0004-bc88714345d2_ActionId">
    <vt:lpwstr>b33608af-24b1-42a5-8c72-cac7fcac1b12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